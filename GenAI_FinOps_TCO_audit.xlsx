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Adoption" sheetId="2" state="visible" r:id="rId4"/>
    <sheet name="Monthly cost"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<sst xmlns="http://schemas.openxmlformats.org/spreadsheetml/2006/main" count="228" uniqueCount="152">
  <si>
    <t xml:space="preserve">GenAI FinOps — three-year TCO of the underwriting assistant</t>
  </si>
  <si>
    <t xml:space="preserve">Every blue cell is an input. Change one and the whole workbook recalculates. Black cells are formulas.</t>
  </si>
  <si>
    <t xml:space="preserve">Use case — underwriting assistant</t>
  </si>
  <si>
    <t xml:space="preserve">Intended users</t>
  </si>
  <si>
    <t xml:space="preserve">people</t>
  </si>
  <si>
    <t xml:space="preserve">Chapter 5.3; assumption for a mid-sized Swiss insurer</t>
  </si>
  <si>
    <t xml:space="preserve">Tasks per user per working day</t>
  </si>
  <si>
    <t xml:space="preserve">tasks</t>
  </si>
  <si>
    <t xml:space="preserve">Chapter 5.3</t>
  </si>
  <si>
    <t xml:space="preserve">Input tokens per task</t>
  </si>
  <si>
    <t xml:space="preserve">tokens</t>
  </si>
  <si>
    <t xml:space="preserve">Chapter 5.3 / Annex F.3</t>
  </si>
  <si>
    <t xml:space="preserve">Output tokens per task</t>
  </si>
  <si>
    <t xml:space="preserve">Working days per month</t>
  </si>
  <si>
    <t xml:space="preserve">days</t>
  </si>
  <si>
    <t xml:space="preserve">Annex F.3</t>
  </si>
  <si>
    <t xml:space="preserve">Working seconds per day</t>
  </si>
  <si>
    <t xml:space="preserve">s</t>
  </si>
  <si>
    <t xml:space="preserve">Annex F.3 — eight hours</t>
  </si>
  <si>
    <t xml:space="preserve">Peak factor, busiest hour</t>
  </si>
  <si>
    <t xml:space="preserve">x</t>
  </si>
  <si>
    <t xml:space="preserve">Horizon</t>
  </si>
  <si>
    <t xml:space="preserve">months</t>
  </si>
  <si>
    <t xml:space="preserve">Annex F.2 — matches Azure reservation and APEX terms</t>
  </si>
  <si>
    <t xml:space="preserve">Adoption — Bass diffusion</t>
  </si>
  <si>
    <t xml:space="preserve">p, coefficient of innovation</t>
  </si>
  <si>
    <t xml:space="preserve">per quarter</t>
  </si>
  <si>
    <t xml:space="preserve">Annex F.2; Sultan et al. meta-analysis [51]</t>
  </si>
  <si>
    <t xml:space="preserve">q, coefficient of imitation</t>
  </si>
  <si>
    <t xml:space="preserve">AI as a Service — Microsoft Copilot</t>
  </si>
  <si>
    <t xml:space="preserve">Microsoft 365 Copilot seat</t>
  </si>
  <si>
    <t xml:space="preserve">CHF/user/mo</t>
  </si>
  <si>
    <t xml:space="preserve">Annex B.1 — USD 30 converted at 0.8321 (Annex G.1)</t>
  </si>
  <si>
    <t xml:space="preserve">Copilot Credits per answer</t>
  </si>
  <si>
    <t xml:space="preserve">credits</t>
  </si>
  <si>
    <t xml:space="preserve">Annex B.2, Table B1 — 2 = generative answer; 10 = tenant-graph grounding</t>
  </si>
  <si>
    <t xml:space="preserve">Credits per capacity pack</t>
  </si>
  <si>
    <t xml:space="preserve">Annex B.1</t>
  </si>
  <si>
    <t xml:space="preserve">Price per capacity pack</t>
  </si>
  <si>
    <t xml:space="preserve">CHF/mo</t>
  </si>
  <si>
    <t xml:space="preserve">Annex B.1 — USD 200</t>
  </si>
  <si>
    <t xml:space="preserve">GenAI Gateway — Microsoft Foundry, GPT-5.4</t>
  </si>
  <si>
    <t xml:space="preserve">Input price</t>
  </si>
  <si>
    <t xml:space="preserve">CHF/M tokens</t>
  </si>
  <si>
    <t xml:space="preserve">Annex A.3, ref [37]</t>
  </si>
  <si>
    <t xml:space="preserve">Output price</t>
  </si>
  <si>
    <t xml:space="preserve">Hyperscaled and Owned AI — Tier 2 GPU</t>
  </si>
  <si>
    <t xml:space="preserve">Azure NC80adis H100 v5, always on</t>
  </si>
  <si>
    <t xml:space="preserve">Annex G.2 — 730 h, Switzerland North, list price</t>
  </si>
  <si>
    <t xml:space="preserve">Throughput per VM</t>
  </si>
  <si>
    <t xml:space="preserve">tokens/s</t>
  </si>
  <si>
    <t xml:space="preserve">Annex G / estimator</t>
  </si>
  <si>
    <t xml:space="preserve">Price per H100 NVL card</t>
  </si>
  <si>
    <t xml:space="preserve">USD</t>
  </si>
  <si>
    <t xml:space="preserve">TRG Datacenters via IntuitionLabs, 10 Oct 2026 — no NVIDIA list price exists</t>
  </si>
  <si>
    <t xml:space="preserve">GPUs per server</t>
  </si>
  <si>
    <t xml:space="preserve">cards</t>
  </si>
  <si>
    <t xml:space="preserve">Annex D.2, Table D1 — PowerEdge R760xa, Tier 2</t>
  </si>
  <si>
    <t xml:space="preserve">Server without GPUs</t>
  </si>
  <si>
    <t xml:space="preserve">ESTIMATE — 2U dual-socket chassis, CPUs, RAM, NVMe, NICs</t>
  </si>
  <si>
    <t xml:space="preserve">USD to CHF</t>
  </si>
  <si>
    <t xml:space="preserve">CHF/USD</t>
  </si>
  <si>
    <t xml:space="preserve">Annex G.1, ref [52] — mid rate 12 Oct 2026</t>
  </si>
  <si>
    <t xml:space="preserve">APEX subscription uplift over purchase</t>
  </si>
  <si>
    <t xml:space="preserve">ASSUMPTION — 3-year hardware-as-a-service typically 1.3-1.6x purchase; Dell quotes per customer</t>
  </si>
  <si>
    <t xml:space="preserve">Power draw under load</t>
  </si>
  <si>
    <t xml:space="preserve">kW</t>
  </si>
  <si>
    <t xml:space="preserve">2 x H100 NVL at 400 W plus host</t>
  </si>
  <si>
    <t xml:space="preserve">Electricity</t>
  </si>
  <si>
    <t xml:space="preserve">CHF/kWh</t>
  </si>
  <si>
    <t xml:space="preserve">ESTIMATE — Swiss commercial rate 2026</t>
  </si>
  <si>
    <t xml:space="preserve">Swisscom colocation</t>
  </si>
  <si>
    <t xml:space="preserve">CHF/rack/mo</t>
  </si>
  <si>
    <t xml:space="preserve">Annex D.1, ref [50]</t>
  </si>
  <si>
    <t xml:space="preserve">Owned AI cost per GPU-server-month</t>
  </si>
  <si>
    <t xml:space="preserve">derived — compare with the Azure VM in B29</t>
  </si>
  <si>
    <t xml:space="preserve">Salaries — Zürich, gross + 15% employer cost, CHF per month</t>
  </si>
  <si>
    <t xml:space="preserve">Prompt engineer</t>
  </si>
  <si>
    <t xml:space="preserve">prompt</t>
  </si>
  <si>
    <t xml:space="preserve">Annex H.2, Table H2 — Robert Half 2026 median</t>
  </si>
  <si>
    <t xml:space="preserve">AI engineer</t>
  </si>
  <si>
    <t xml:space="preserve">ai</t>
  </si>
  <si>
    <t xml:space="preserve">Application developer</t>
  </si>
  <si>
    <t xml:space="preserve">appdev</t>
  </si>
  <si>
    <t xml:space="preserve">MLOps engineer</t>
  </si>
  <si>
    <t xml:space="preserve">mlops</t>
  </si>
  <si>
    <t xml:space="preserve">Cloud engineer</t>
  </si>
  <si>
    <t xml:space="preserve">cloud</t>
  </si>
  <si>
    <t xml:space="preserve">Infrastructure engineer</t>
  </si>
  <si>
    <t xml:space="preserve">infra</t>
  </si>
  <si>
    <t xml:space="preserve">Site reliability engineer</t>
  </si>
  <si>
    <t xml:space="preserve">sre</t>
  </si>
  <si>
    <t xml:space="preserve">Staffing — FTE per role and adoption phase, and its monthly cost</t>
  </si>
  <si>
    <t xml:space="preserve">Infrastructure model</t>
  </si>
  <si>
    <t xml:space="preserve">Role</t>
  </si>
  <si>
    <t xml:space="preserve">Early</t>
  </si>
  <si>
    <t xml:space="preserve">Mid</t>
  </si>
  <si>
    <t xml:space="preserve">Long-term</t>
  </si>
  <si>
    <t xml:space="preserve">Monthly CHF — early</t>
  </si>
  <si>
    <t xml:space="preserve">mid</t>
  </si>
  <si>
    <t xml:space="preserve">long-term</t>
  </si>
  <si>
    <t xml:space="preserve">AI as a Service</t>
  </si>
  <si>
    <t xml:space="preserve">aiaas</t>
  </si>
  <si>
    <t xml:space="preserve">GenAI Gateway</t>
  </si>
  <si>
    <t xml:space="preserve">gateway</t>
  </si>
  <si>
    <t xml:space="preserve">Hyperscaled AI</t>
  </si>
  <si>
    <t xml:space="preserve">hyper</t>
  </si>
  <si>
    <t xml:space="preserve">Owned AI</t>
  </si>
  <si>
    <t xml:space="preserve">owned</t>
  </si>
  <si>
    <t xml:space="preserve">FTE fractions are assumptions (Annex H.4, Table H4), not measurements.</t>
  </si>
  <si>
    <t xml:space="preserve">Monthly workforce per infrastructure model, and the one-time setup</t>
  </si>
  <si>
    <t xml:space="preserve">key</t>
  </si>
  <si>
    <t xml:space="preserve">Setup (person-months, Annex H.5)</t>
  </si>
  <si>
    <t xml:space="preserve">Setup is person-months priced at the salaries above (Annex H.5, Table H6).</t>
  </si>
  <si>
    <t xml:space="preserve">Adoption and load, month by month</t>
  </si>
  <si>
    <t xml:space="preserve">Bass: F(t) = (1 - EXP(-(p+q)t)) / (1 + (q/p)EXP(-(p+q)t)), t measured in quarters.  Phase 1 = early (&lt;16%), 2 = mid (&lt;84%), 3 = long-term.</t>
  </si>
  <si>
    <t xml:space="preserve">Month</t>
  </si>
  <si>
    <t xml:space="preserve">t (quarters)</t>
  </si>
  <si>
    <t xml:space="preserve">F(t) adopted</t>
  </si>
  <si>
    <t xml:space="preserve">Adopters</t>
  </si>
  <si>
    <t xml:space="preserve">Phase</t>
  </si>
  <si>
    <t xml:space="preserve">Answers / month</t>
  </si>
  <si>
    <t xml:space="preserve">Input tokens / month</t>
  </si>
  <si>
    <t xml:space="preserve">Output tokens / month</t>
  </si>
  <si>
    <t xml:space="preserve">Peak tokens / s</t>
  </si>
  <si>
    <t xml:space="preserve">GPU VMs needed</t>
  </si>
  <si>
    <t xml:space="preserve">GPU VMs are sized on the PEAK rate, not the average: a VM that serves 2,400 tokens/s at peak delivers only about 507M tokens a month when the load runs for eight hours with a 3x peak.</t>
  </si>
  <si>
    <t xml:space="preserve">Monthly cost of the same use case on each infrastructure, CHF</t>
  </si>
  <si>
    <t xml:space="preserve">Service = subscription or tokens.  Infra = cloud or on-premises capacity.  Workforce = the people who build and run it.  One-time setup is added once, on the Summary sheet.</t>
  </si>
  <si>
    <t xml:space="preserve">Service</t>
  </si>
  <si>
    <t xml:space="preserve">Infra</t>
  </si>
  <si>
    <t xml:space="preserve">Workforce</t>
  </si>
  <si>
    <t xml:space="preserve">Three-year total cost of ownership — the four bars of slide 13</t>
  </si>
  <si>
    <t xml:space="preserve">Every figure below is the sum of the 'Monthly cost' sheet plus the one-time setup from Inputs.</t>
  </si>
  <si>
    <t xml:space="preserve">Infrastructure</t>
  </si>
  <si>
    <t xml:space="preserve">Workforce — run</t>
  </si>
  <si>
    <t xml:space="preserve">Workforce — setup</t>
  </si>
  <si>
    <t xml:space="preserve">TOTAL</t>
  </si>
  <si>
    <t xml:space="preserve">What the number is</t>
  </si>
  <si>
    <t xml:space="preserve">300 Copilot seats at CHF 25/month for 36 months = CHF 270,000, plus credit packs at 10 credits per answer</t>
  </si>
  <si>
    <t xml:space="preserve">GPT-5.4 tokens: 10.6bn input at 2.08 and 2.1bn output at 12.48 per million</t>
  </si>
  <si>
    <t xml:space="preserve">48 VM-months of NC80adis H100 v5 at CHF 12,126, always on</t>
  </si>
  <si>
    <t xml:space="preserve">48 server-months at the hardware build-up in Inputs!B39 — card price, APEX term, power, colocation</t>
  </si>
  <si>
    <t xml:space="preserve">Share that is people</t>
  </si>
  <si>
    <t xml:space="preserve">What is NOT in these numbers — state these before anyone asks</t>
  </si>
  <si>
    <t xml:space="preserve">1.  Copilot Credits are charged at 10 per answer (Inputs!B20), the tenant-graph grounding rate of Annex B Table B1, because this agent is grounded on guidelines and past cases. At the bare generative-answer rate of 2 credits, AI as a Service would fall to about CHF 409,000.</t>
  </si>
  <si>
    <t xml:space="preserve">2.  Hyperscaled and Owned AI run the same open-source stack on their own machines, so there is no separate Azure bill for a vector database or a model endpoint. Storage and network on top of the VM are not costed; both bars are understated by that amount, Hyperscaled slightly more than Owned.</t>
  </si>
  <si>
    <t xml:space="preserve">3.  Owned AI hardware is built up from a card price, not assumed as a share of Azure: USD 29,000 per H100 NVL (TRG Datacenters, October 2026) plus a chassis, over the 36-month term, with a 1.4x subscription uplift for APEX, plus power and Swisscom colocation. The uplift and the chassis price are the two estimates left in it.</t>
  </si>
  <si>
    <t xml:space="preserve">4.  The Copilot seat is charged to this application in full. If these 300 users are already licensed for other reasons, the marginal cost of the application is the credits alone and AI as a Service falls to about CHF 139,000.</t>
  </si>
  <si>
    <t xml:space="preserve">5.  Salaries, FTE fractions, setup effort and the adoption coefficients are reasoned assumptions, not values validated with practitioners (Annexes F.4 and H.6).</t>
  </si>
  <si>
    <t xml:space="preserve">6.  One application carrying a whole platform team. A portfolio sharing that team changes every conclusion.</t>
  </si>
  <si>
    <t xml:space="preserve">7.  Owned AI carries no infrastructure engineer: Dell maintains the hardware under the APEX subscription and Swisscom provides the data-centre layer with the colocation. Its setup falls to 5 person-months accordingly.</t>
  </si>
</sst>
</file>

<file path=xl/styles.xml><?xml version="1.0" encoding="utf-8"?>
<styleSheet xmlns="http://schemas.openxmlformats.org/spreadsheetml/2006/main">
  <numFmts count="8">
    <numFmt numFmtId="164" formatCode="General"/>
    <numFmt numFmtId="165" formatCode="#,##0.00;\(#,##0.00\);\-"/>
    <numFmt numFmtId="166" formatCode="#,##0;\(#,##0\);\-"/>
    <numFmt numFmtId="167" formatCode="0.0000"/>
    <numFmt numFmtId="168" formatCode="0.00"/>
    <numFmt numFmtId="169" formatCode="0.0"/>
    <numFmt numFmtId="170" formatCode="0.0%"/>
    <numFmt numFmtId="171"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sz val="10"/>
      <color rgb="FF008000"/>
      <name val="Arial"/>
      <family val="0"/>
      <charset val="1"/>
    </font>
  </fonts>
  <fills count="5">
    <fill>
      <patternFill patternType="none"/>
    </fill>
    <fill>
      <patternFill patternType="gray125"/>
    </fill>
    <fill>
      <patternFill patternType="solid">
        <fgColor rgb="FF0B3C4F"/>
        <bgColor rgb="FF333333"/>
      </patternFill>
    </fill>
    <fill>
      <patternFill patternType="solid">
        <fgColor rgb="FFFFFF00"/>
        <bgColor rgb="FFFFFF00"/>
      </patternFill>
    </fill>
    <fill>
      <patternFill patternType="solid">
        <fgColor rgb="FFF1F5F6"/>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70"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1F5F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B3C4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0"/>
    <col collapsed="false" customWidth="true" hidden="false" outlineLevel="0" max="4" min="4" style="0" width="62"/>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3"/>
    </row>
    <row r="5" customFormat="false" ht="15" hidden="false" customHeight="false" outlineLevel="0" collapsed="false">
      <c r="A5" s="4" t="s">
        <v>3</v>
      </c>
      <c r="B5" s="5" t="n">
        <v>300</v>
      </c>
      <c r="C5" s="6" t="s">
        <v>4</v>
      </c>
      <c r="D5" s="6" t="s">
        <v>5</v>
      </c>
    </row>
    <row r="6" customFormat="false" ht="15" hidden="false" customHeight="false" outlineLevel="0" collapsed="false">
      <c r="A6" s="4" t="s">
        <v>6</v>
      </c>
      <c r="B6" s="5" t="n">
        <v>20</v>
      </c>
      <c r="C6" s="6" t="s">
        <v>7</v>
      </c>
      <c r="D6" s="6" t="s">
        <v>8</v>
      </c>
    </row>
    <row r="7" customFormat="false" ht="15" hidden="false" customHeight="false" outlineLevel="0" collapsed="false">
      <c r="A7" s="4" t="s">
        <v>9</v>
      </c>
      <c r="B7" s="5" t="n">
        <v>5000</v>
      </c>
      <c r="C7" s="6" t="s">
        <v>10</v>
      </c>
      <c r="D7" s="6" t="s">
        <v>11</v>
      </c>
    </row>
    <row r="8" customFormat="false" ht="15" hidden="false" customHeight="false" outlineLevel="0" collapsed="false">
      <c r="A8" s="4" t="s">
        <v>12</v>
      </c>
      <c r="B8" s="5" t="n">
        <v>1000</v>
      </c>
      <c r="C8" s="6" t="s">
        <v>10</v>
      </c>
      <c r="D8" s="6" t="s">
        <v>11</v>
      </c>
    </row>
    <row r="9" customFormat="false" ht="15" hidden="false" customHeight="false" outlineLevel="0" collapsed="false">
      <c r="A9" s="4" t="s">
        <v>13</v>
      </c>
      <c r="B9" s="5" t="n">
        <v>22</v>
      </c>
      <c r="C9" s="6" t="s">
        <v>14</v>
      </c>
      <c r="D9" s="6" t="s">
        <v>15</v>
      </c>
    </row>
    <row r="10" customFormat="false" ht="15" hidden="false" customHeight="false" outlineLevel="0" collapsed="false">
      <c r="A10" s="4" t="s">
        <v>16</v>
      </c>
      <c r="B10" s="5" t="n">
        <v>28800</v>
      </c>
      <c r="C10" s="6" t="s">
        <v>17</v>
      </c>
      <c r="D10" s="6" t="s">
        <v>18</v>
      </c>
    </row>
    <row r="11" customFormat="false" ht="15" hidden="false" customHeight="false" outlineLevel="0" collapsed="false">
      <c r="A11" s="4" t="s">
        <v>19</v>
      </c>
      <c r="B11" s="5" t="n">
        <v>3</v>
      </c>
      <c r="C11" s="6" t="s">
        <v>20</v>
      </c>
      <c r="D11" s="6" t="s">
        <v>15</v>
      </c>
    </row>
    <row r="12" customFormat="false" ht="15" hidden="false" customHeight="false" outlineLevel="0" collapsed="false">
      <c r="A12" s="4" t="s">
        <v>21</v>
      </c>
      <c r="B12" s="5" t="n">
        <v>36</v>
      </c>
      <c r="C12" s="6" t="s">
        <v>22</v>
      </c>
      <c r="D12" s="6" t="s">
        <v>23</v>
      </c>
    </row>
    <row r="14" customFormat="false" ht="15" hidden="false" customHeight="false" outlineLevel="0" collapsed="false">
      <c r="A14" s="3" t="s">
        <v>24</v>
      </c>
      <c r="B14" s="3"/>
      <c r="C14" s="3"/>
      <c r="D14" s="3"/>
    </row>
    <row r="15" customFormat="false" ht="15" hidden="false" customHeight="false" outlineLevel="0" collapsed="false">
      <c r="A15" s="4" t="s">
        <v>25</v>
      </c>
      <c r="B15" s="5" t="n">
        <v>0.03</v>
      </c>
      <c r="C15" s="6" t="s">
        <v>26</v>
      </c>
      <c r="D15" s="6" t="s">
        <v>27</v>
      </c>
    </row>
    <row r="16" customFormat="false" ht="15" hidden="false" customHeight="false" outlineLevel="0" collapsed="false">
      <c r="A16" s="4" t="s">
        <v>28</v>
      </c>
      <c r="B16" s="5" t="n">
        <v>0.38</v>
      </c>
      <c r="C16" s="6" t="s">
        <v>26</v>
      </c>
      <c r="D16" s="6" t="s">
        <v>27</v>
      </c>
    </row>
    <row r="18" customFormat="false" ht="15" hidden="false" customHeight="false" outlineLevel="0" collapsed="false">
      <c r="A18" s="3" t="s">
        <v>29</v>
      </c>
      <c r="B18" s="3"/>
      <c r="C18" s="3"/>
      <c r="D18" s="3"/>
    </row>
    <row r="19" customFormat="false" ht="15" hidden="false" customHeight="false" outlineLevel="0" collapsed="false">
      <c r="A19" s="4" t="s">
        <v>30</v>
      </c>
      <c r="B19" s="5" t="n">
        <v>25</v>
      </c>
      <c r="C19" s="6" t="s">
        <v>31</v>
      </c>
      <c r="D19" s="6" t="s">
        <v>32</v>
      </c>
    </row>
    <row r="20" customFormat="false" ht="15" hidden="false" customHeight="false" outlineLevel="0" collapsed="false">
      <c r="A20" s="4" t="s">
        <v>33</v>
      </c>
      <c r="B20" s="7" t="n">
        <v>10</v>
      </c>
      <c r="C20" s="6" t="s">
        <v>34</v>
      </c>
      <c r="D20" s="6" t="s">
        <v>35</v>
      </c>
    </row>
    <row r="21" customFormat="false" ht="15" hidden="false" customHeight="false" outlineLevel="0" collapsed="false">
      <c r="A21" s="4" t="s">
        <v>36</v>
      </c>
      <c r="B21" s="5" t="n">
        <v>25000</v>
      </c>
      <c r="C21" s="6" t="s">
        <v>34</v>
      </c>
      <c r="D21" s="6" t="s">
        <v>37</v>
      </c>
    </row>
    <row r="22" customFormat="false" ht="15" hidden="false" customHeight="false" outlineLevel="0" collapsed="false">
      <c r="A22" s="4" t="s">
        <v>38</v>
      </c>
      <c r="B22" s="5" t="n">
        <v>166</v>
      </c>
      <c r="C22" s="6" t="s">
        <v>39</v>
      </c>
      <c r="D22" s="6" t="s">
        <v>40</v>
      </c>
    </row>
    <row r="24" customFormat="false" ht="15" hidden="false" customHeight="false" outlineLevel="0" collapsed="false">
      <c r="A24" s="3" t="s">
        <v>41</v>
      </c>
      <c r="B24" s="3"/>
      <c r="C24" s="3"/>
      <c r="D24" s="3"/>
    </row>
    <row r="25" customFormat="false" ht="15" hidden="false" customHeight="false" outlineLevel="0" collapsed="false">
      <c r="A25" s="4" t="s">
        <v>42</v>
      </c>
      <c r="B25" s="8" t="n">
        <v>2.08</v>
      </c>
      <c r="C25" s="6" t="s">
        <v>43</v>
      </c>
      <c r="D25" s="6" t="s">
        <v>44</v>
      </c>
    </row>
    <row r="26" customFormat="false" ht="15" hidden="false" customHeight="false" outlineLevel="0" collapsed="false">
      <c r="A26" s="4" t="s">
        <v>45</v>
      </c>
      <c r="B26" s="8" t="n">
        <v>12.48</v>
      </c>
      <c r="C26" s="6" t="s">
        <v>43</v>
      </c>
      <c r="D26" s="6" t="s">
        <v>44</v>
      </c>
    </row>
    <row r="28" customFormat="false" ht="15" hidden="false" customHeight="false" outlineLevel="0" collapsed="false">
      <c r="A28" s="3" t="s">
        <v>46</v>
      </c>
      <c r="B28" s="3"/>
      <c r="C28" s="3"/>
      <c r="D28" s="3"/>
    </row>
    <row r="29" customFormat="false" ht="15" hidden="false" customHeight="false" outlineLevel="0" collapsed="false">
      <c r="A29" s="4" t="s">
        <v>47</v>
      </c>
      <c r="B29" s="9" t="n">
        <v>12126</v>
      </c>
      <c r="C29" s="6" t="s">
        <v>39</v>
      </c>
      <c r="D29" s="6" t="s">
        <v>48</v>
      </c>
    </row>
    <row r="30" customFormat="false" ht="15" hidden="false" customHeight="false" outlineLevel="0" collapsed="false">
      <c r="A30" s="4" t="s">
        <v>49</v>
      </c>
      <c r="B30" s="5" t="n">
        <v>2400</v>
      </c>
      <c r="C30" s="6" t="s">
        <v>50</v>
      </c>
      <c r="D30" s="6" t="s">
        <v>51</v>
      </c>
    </row>
    <row r="31" customFormat="false" ht="15" hidden="false" customHeight="false" outlineLevel="0" collapsed="false">
      <c r="A31" s="4" t="s">
        <v>52</v>
      </c>
      <c r="B31" s="9" t="n">
        <v>29000</v>
      </c>
      <c r="C31" s="6" t="s">
        <v>53</v>
      </c>
      <c r="D31" s="6" t="s">
        <v>54</v>
      </c>
    </row>
    <row r="32" customFormat="false" ht="15" hidden="false" customHeight="false" outlineLevel="0" collapsed="false">
      <c r="A32" s="4" t="s">
        <v>55</v>
      </c>
      <c r="B32" s="5" t="n">
        <v>2</v>
      </c>
      <c r="C32" s="6" t="s">
        <v>56</v>
      </c>
      <c r="D32" s="6" t="s">
        <v>57</v>
      </c>
    </row>
    <row r="33" customFormat="false" ht="15" hidden="false" customHeight="false" outlineLevel="0" collapsed="false">
      <c r="A33" s="4" t="s">
        <v>58</v>
      </c>
      <c r="B33" s="10" t="n">
        <v>30000</v>
      </c>
      <c r="C33" s="6" t="s">
        <v>53</v>
      </c>
      <c r="D33" s="6" t="s">
        <v>59</v>
      </c>
    </row>
    <row r="34" customFormat="false" ht="15" hidden="false" customHeight="false" outlineLevel="0" collapsed="false">
      <c r="A34" s="4" t="s">
        <v>60</v>
      </c>
      <c r="B34" s="11" t="n">
        <v>0.8321</v>
      </c>
      <c r="C34" s="6" t="s">
        <v>61</v>
      </c>
      <c r="D34" s="6" t="s">
        <v>62</v>
      </c>
    </row>
    <row r="35" customFormat="false" ht="15" hidden="false" customHeight="false" outlineLevel="0" collapsed="false">
      <c r="A35" s="4" t="s">
        <v>63</v>
      </c>
      <c r="B35" s="12" t="n">
        <v>1.4</v>
      </c>
      <c r="C35" s="6" t="s">
        <v>20</v>
      </c>
      <c r="D35" s="6" t="s">
        <v>64</v>
      </c>
    </row>
    <row r="36" customFormat="false" ht="15" hidden="false" customHeight="false" outlineLevel="0" collapsed="false">
      <c r="A36" s="4" t="s">
        <v>65</v>
      </c>
      <c r="B36" s="13" t="n">
        <v>1.6</v>
      </c>
      <c r="C36" s="6" t="s">
        <v>66</v>
      </c>
      <c r="D36" s="6" t="s">
        <v>67</v>
      </c>
    </row>
    <row r="37" customFormat="false" ht="15" hidden="false" customHeight="false" outlineLevel="0" collapsed="false">
      <c r="A37" s="4" t="s">
        <v>68</v>
      </c>
      <c r="B37" s="12" t="n">
        <v>0.2</v>
      </c>
      <c r="C37" s="6" t="s">
        <v>69</v>
      </c>
      <c r="D37" s="6" t="s">
        <v>70</v>
      </c>
    </row>
    <row r="38" customFormat="false" ht="15" hidden="false" customHeight="false" outlineLevel="0" collapsed="false">
      <c r="A38" s="4" t="s">
        <v>71</v>
      </c>
      <c r="B38" s="9" t="n">
        <v>1250</v>
      </c>
      <c r="C38" s="6" t="s">
        <v>72</v>
      </c>
      <c r="D38" s="6" t="s">
        <v>73</v>
      </c>
    </row>
    <row r="39" customFormat="false" ht="15" hidden="false" customHeight="false" outlineLevel="0" collapsed="false">
      <c r="A39" s="14" t="s">
        <v>74</v>
      </c>
      <c r="B39" s="15" t="n">
        <f aca="false">(B31*B32+B33)*B34*B35/B12 + B36*730*B37 + B38</f>
        <v>4331.23111111111</v>
      </c>
      <c r="C39" s="2" t="s">
        <v>39</v>
      </c>
      <c r="D39" s="2" t="s">
        <v>75</v>
      </c>
    </row>
    <row r="41" customFormat="false" ht="15" hidden="false" customHeight="false" outlineLevel="0" collapsed="false">
      <c r="A41" s="3" t="s">
        <v>76</v>
      </c>
      <c r="B41" s="3"/>
      <c r="C41" s="3"/>
      <c r="D41" s="3"/>
    </row>
    <row r="42" customFormat="false" ht="15" hidden="false" customHeight="false" outlineLevel="0" collapsed="false">
      <c r="A42" s="4" t="s">
        <v>77</v>
      </c>
      <c r="B42" s="9" t="n">
        <v>9111</v>
      </c>
      <c r="C42" s="6" t="s">
        <v>78</v>
      </c>
      <c r="D42" s="6" t="s">
        <v>79</v>
      </c>
    </row>
    <row r="43" customFormat="false" ht="15" hidden="false" customHeight="false" outlineLevel="0" collapsed="false">
      <c r="A43" s="4" t="s">
        <v>80</v>
      </c>
      <c r="B43" s="9" t="n">
        <v>12698</v>
      </c>
      <c r="C43" s="6" t="s">
        <v>81</v>
      </c>
      <c r="D43" s="6" t="s">
        <v>79</v>
      </c>
    </row>
    <row r="44" customFormat="false" ht="15" hidden="false" customHeight="false" outlineLevel="0" collapsed="false">
      <c r="A44" s="4" t="s">
        <v>82</v>
      </c>
      <c r="B44" s="9" t="n">
        <v>12419</v>
      </c>
      <c r="C44" s="6" t="s">
        <v>83</v>
      </c>
      <c r="D44" s="6" t="s">
        <v>79</v>
      </c>
    </row>
    <row r="45" customFormat="false" ht="15" hidden="false" customHeight="false" outlineLevel="0" collapsed="false">
      <c r="A45" s="4" t="s">
        <v>84</v>
      </c>
      <c r="B45" s="9" t="n">
        <v>11174</v>
      </c>
      <c r="C45" s="6" t="s">
        <v>85</v>
      </c>
      <c r="D45" s="6" t="s">
        <v>79</v>
      </c>
    </row>
    <row r="46" customFormat="false" ht="15" hidden="false" customHeight="false" outlineLevel="0" collapsed="false">
      <c r="A46" s="4" t="s">
        <v>86</v>
      </c>
      <c r="B46" s="9" t="n">
        <v>13866</v>
      </c>
      <c r="C46" s="6" t="s">
        <v>87</v>
      </c>
      <c r="D46" s="6" t="s">
        <v>79</v>
      </c>
    </row>
    <row r="47" customFormat="false" ht="15" hidden="false" customHeight="false" outlineLevel="0" collapsed="false">
      <c r="A47" s="4" t="s">
        <v>88</v>
      </c>
      <c r="B47" s="9" t="n">
        <v>12393</v>
      </c>
      <c r="C47" s="6" t="s">
        <v>89</v>
      </c>
      <c r="D47" s="6" t="s">
        <v>79</v>
      </c>
    </row>
    <row r="48" customFormat="false" ht="15" hidden="false" customHeight="false" outlineLevel="0" collapsed="false">
      <c r="A48" s="4" t="s">
        <v>90</v>
      </c>
      <c r="B48" s="9" t="n">
        <v>12419</v>
      </c>
      <c r="C48" s="6" t="s">
        <v>91</v>
      </c>
      <c r="D48" s="6" t="s">
        <v>79</v>
      </c>
    </row>
    <row r="50" customFormat="false" ht="15" hidden="false" customHeight="false" outlineLevel="0" collapsed="false">
      <c r="A50" s="3" t="s">
        <v>92</v>
      </c>
      <c r="B50" s="3"/>
      <c r="C50" s="3"/>
      <c r="D50" s="3"/>
    </row>
    <row r="51" customFormat="false" ht="15" hidden="false" customHeight="false" outlineLevel="0" collapsed="false">
      <c r="A51" s="14" t="s">
        <v>93</v>
      </c>
      <c r="B51" s="14" t="s">
        <v>94</v>
      </c>
      <c r="C51" s="14" t="s">
        <v>95</v>
      </c>
      <c r="D51" s="14" t="s">
        <v>96</v>
      </c>
      <c r="E51" s="14" t="s">
        <v>97</v>
      </c>
      <c r="F51" s="14" t="s">
        <v>98</v>
      </c>
      <c r="G51" s="14" t="s">
        <v>99</v>
      </c>
      <c r="H51" s="14" t="s">
        <v>100</v>
      </c>
    </row>
    <row r="52" customFormat="false" ht="15" hidden="false" customHeight="false" outlineLevel="0" collapsed="false">
      <c r="A52" s="4" t="s">
        <v>101</v>
      </c>
      <c r="B52" s="4" t="s">
        <v>78</v>
      </c>
      <c r="C52" s="13" t="n">
        <v>0.3</v>
      </c>
      <c r="D52" s="13" t="n">
        <v>0.3</v>
      </c>
      <c r="E52" s="13" t="n">
        <v>0.3</v>
      </c>
      <c r="F52" s="16" t="n">
        <f aca="false">C52*INDEX($B$42:$B$48,MATCH($B52,$C$42:$C$48,0))</f>
        <v>2733.3</v>
      </c>
      <c r="G52" s="16" t="n">
        <f aca="false">D52*INDEX($B$42:$B$48,MATCH($B52,$C$42:$C$48,0))</f>
        <v>2733.3</v>
      </c>
      <c r="H52" s="16" t="n">
        <f aca="false">E52*INDEX($B$42:$B$48,MATCH($B52,$C$42:$C$48,0))</f>
        <v>2733.3</v>
      </c>
      <c r="I52" s="6" t="s">
        <v>102</v>
      </c>
    </row>
    <row r="53" customFormat="false" ht="15" hidden="false" customHeight="false" outlineLevel="0" collapsed="false">
      <c r="A53" s="4" t="s">
        <v>103</v>
      </c>
      <c r="B53" s="4" t="s">
        <v>81</v>
      </c>
      <c r="C53" s="13" t="n">
        <v>0.2</v>
      </c>
      <c r="D53" s="13" t="n">
        <v>0.4</v>
      </c>
      <c r="E53" s="13" t="n">
        <v>0.5</v>
      </c>
      <c r="F53" s="16" t="n">
        <f aca="false">C53*INDEX($B$42:$B$48,MATCH($B53,$C$42:$C$48,0))</f>
        <v>2539.6</v>
      </c>
      <c r="G53" s="16" t="n">
        <f aca="false">D53*INDEX($B$42:$B$48,MATCH($B53,$C$42:$C$48,0))</f>
        <v>5079.2</v>
      </c>
      <c r="H53" s="16" t="n">
        <f aca="false">E53*INDEX($B$42:$B$48,MATCH($B53,$C$42:$C$48,0))</f>
        <v>6349</v>
      </c>
      <c r="I53" s="6" t="s">
        <v>104</v>
      </c>
    </row>
    <row r="54" customFormat="false" ht="15" hidden="false" customHeight="false" outlineLevel="0" collapsed="false">
      <c r="A54" s="4" t="s">
        <v>103</v>
      </c>
      <c r="B54" s="4" t="s">
        <v>83</v>
      </c>
      <c r="C54" s="13" t="n">
        <v>0.3</v>
      </c>
      <c r="D54" s="13" t="n">
        <v>0.5</v>
      </c>
      <c r="E54" s="13" t="n">
        <v>0.5</v>
      </c>
      <c r="F54" s="16" t="n">
        <f aca="false">C54*INDEX($B$42:$B$48,MATCH($B54,$C$42:$C$48,0))</f>
        <v>3725.7</v>
      </c>
      <c r="G54" s="16" t="n">
        <f aca="false">D54*INDEX($B$42:$B$48,MATCH($B54,$C$42:$C$48,0))</f>
        <v>6209.5</v>
      </c>
      <c r="H54" s="16" t="n">
        <f aca="false">E54*INDEX($B$42:$B$48,MATCH($B54,$C$42:$C$48,0))</f>
        <v>6209.5</v>
      </c>
      <c r="I54" s="6" t="s">
        <v>104</v>
      </c>
    </row>
    <row r="55" customFormat="false" ht="15" hidden="false" customHeight="false" outlineLevel="0" collapsed="false">
      <c r="A55" s="4" t="s">
        <v>105</v>
      </c>
      <c r="B55" s="4" t="s">
        <v>85</v>
      </c>
      <c r="C55" s="13" t="n">
        <v>0.5</v>
      </c>
      <c r="D55" s="13" t="n">
        <v>0.7</v>
      </c>
      <c r="E55" s="13" t="n">
        <v>1</v>
      </c>
      <c r="F55" s="16" t="n">
        <f aca="false">C55*INDEX($B$42:$B$48,MATCH($B55,$C$42:$C$48,0))</f>
        <v>5587</v>
      </c>
      <c r="G55" s="16" t="n">
        <f aca="false">D55*INDEX($B$42:$B$48,MATCH($B55,$C$42:$C$48,0))</f>
        <v>7821.8</v>
      </c>
      <c r="H55" s="16" t="n">
        <f aca="false">E55*INDEX($B$42:$B$48,MATCH($B55,$C$42:$C$48,0))</f>
        <v>11174</v>
      </c>
      <c r="I55" s="6" t="s">
        <v>106</v>
      </c>
    </row>
    <row r="56" customFormat="false" ht="15" hidden="false" customHeight="false" outlineLevel="0" collapsed="false">
      <c r="A56" s="4" t="s">
        <v>105</v>
      </c>
      <c r="B56" s="4" t="s">
        <v>87</v>
      </c>
      <c r="C56" s="13" t="n">
        <v>0.3</v>
      </c>
      <c r="D56" s="13" t="n">
        <v>0.5</v>
      </c>
      <c r="E56" s="13" t="n">
        <v>0.5</v>
      </c>
      <c r="F56" s="16" t="n">
        <f aca="false">C56*INDEX($B$42:$B$48,MATCH($B56,$C$42:$C$48,0))</f>
        <v>4159.8</v>
      </c>
      <c r="G56" s="16" t="n">
        <f aca="false">D56*INDEX($B$42:$B$48,MATCH($B56,$C$42:$C$48,0))</f>
        <v>6933</v>
      </c>
      <c r="H56" s="16" t="n">
        <f aca="false">E56*INDEX($B$42:$B$48,MATCH($B56,$C$42:$C$48,0))</f>
        <v>6933</v>
      </c>
      <c r="I56" s="6" t="s">
        <v>106</v>
      </c>
    </row>
    <row r="57" customFormat="false" ht="15" hidden="false" customHeight="false" outlineLevel="0" collapsed="false">
      <c r="A57" s="4" t="s">
        <v>105</v>
      </c>
      <c r="B57" s="4" t="s">
        <v>91</v>
      </c>
      <c r="C57" s="13" t="n">
        <v>0.3</v>
      </c>
      <c r="D57" s="13" t="n">
        <v>0.5</v>
      </c>
      <c r="E57" s="13" t="n">
        <v>1</v>
      </c>
      <c r="F57" s="16" t="n">
        <f aca="false">C57*INDEX($B$42:$B$48,MATCH($B57,$C$42:$C$48,0))</f>
        <v>3725.7</v>
      </c>
      <c r="G57" s="16" t="n">
        <f aca="false">D57*INDEX($B$42:$B$48,MATCH($B57,$C$42:$C$48,0))</f>
        <v>6209.5</v>
      </c>
      <c r="H57" s="16" t="n">
        <f aca="false">E57*INDEX($B$42:$B$48,MATCH($B57,$C$42:$C$48,0))</f>
        <v>12419</v>
      </c>
      <c r="I57" s="6" t="s">
        <v>106</v>
      </c>
    </row>
    <row r="58" customFormat="false" ht="15" hidden="false" customHeight="false" outlineLevel="0" collapsed="false">
      <c r="A58" s="4" t="s">
        <v>105</v>
      </c>
      <c r="B58" s="4" t="s">
        <v>83</v>
      </c>
      <c r="C58" s="13" t="n">
        <v>0.3</v>
      </c>
      <c r="D58" s="13" t="n">
        <v>0.5</v>
      </c>
      <c r="E58" s="13" t="n">
        <v>0.5</v>
      </c>
      <c r="F58" s="16" t="n">
        <f aca="false">C58*INDEX($B$42:$B$48,MATCH($B58,$C$42:$C$48,0))</f>
        <v>3725.7</v>
      </c>
      <c r="G58" s="16" t="n">
        <f aca="false">D58*INDEX($B$42:$B$48,MATCH($B58,$C$42:$C$48,0))</f>
        <v>6209.5</v>
      </c>
      <c r="H58" s="16" t="n">
        <f aca="false">E58*INDEX($B$42:$B$48,MATCH($B58,$C$42:$C$48,0))</f>
        <v>6209.5</v>
      </c>
      <c r="I58" s="6" t="s">
        <v>106</v>
      </c>
    </row>
    <row r="59" customFormat="false" ht="15" hidden="false" customHeight="false" outlineLevel="0" collapsed="false">
      <c r="A59" s="4" t="s">
        <v>107</v>
      </c>
      <c r="B59" s="4" t="s">
        <v>85</v>
      </c>
      <c r="C59" s="13" t="n">
        <v>0.5</v>
      </c>
      <c r="D59" s="13" t="n">
        <v>0.7</v>
      </c>
      <c r="E59" s="13" t="n">
        <v>1</v>
      </c>
      <c r="F59" s="16" t="n">
        <f aca="false">C59*INDEX($B$42:$B$48,MATCH($B59,$C$42:$C$48,0))</f>
        <v>5587</v>
      </c>
      <c r="G59" s="16" t="n">
        <f aca="false">D59*INDEX($B$42:$B$48,MATCH($B59,$C$42:$C$48,0))</f>
        <v>7821.8</v>
      </c>
      <c r="H59" s="16" t="n">
        <f aca="false">E59*INDEX($B$42:$B$48,MATCH($B59,$C$42:$C$48,0))</f>
        <v>11174</v>
      </c>
      <c r="I59" s="6" t="s">
        <v>108</v>
      </c>
    </row>
    <row r="60" customFormat="false" ht="15" hidden="false" customHeight="false" outlineLevel="0" collapsed="false">
      <c r="A60" s="4" t="s">
        <v>107</v>
      </c>
      <c r="B60" s="4" t="s">
        <v>91</v>
      </c>
      <c r="C60" s="13" t="n">
        <v>0.5</v>
      </c>
      <c r="D60" s="13" t="n">
        <v>1</v>
      </c>
      <c r="E60" s="13" t="n">
        <v>1.5</v>
      </c>
      <c r="F60" s="16" t="n">
        <f aca="false">C60*INDEX($B$42:$B$48,MATCH($B60,$C$42:$C$48,0))</f>
        <v>6209.5</v>
      </c>
      <c r="G60" s="16" t="n">
        <f aca="false">D60*INDEX($B$42:$B$48,MATCH($B60,$C$42:$C$48,0))</f>
        <v>12419</v>
      </c>
      <c r="H60" s="16" t="n">
        <f aca="false">E60*INDEX($B$42:$B$48,MATCH($B60,$C$42:$C$48,0))</f>
        <v>18628.5</v>
      </c>
      <c r="I60" s="6" t="s">
        <v>108</v>
      </c>
    </row>
    <row r="61" customFormat="false" ht="15" hidden="false" customHeight="false" outlineLevel="0" collapsed="false">
      <c r="A61" s="4" t="s">
        <v>107</v>
      </c>
      <c r="B61" s="4" t="s">
        <v>83</v>
      </c>
      <c r="C61" s="13" t="n">
        <v>0.3</v>
      </c>
      <c r="D61" s="13" t="n">
        <v>0.5</v>
      </c>
      <c r="E61" s="13" t="n">
        <v>0.5</v>
      </c>
      <c r="F61" s="16" t="n">
        <f aca="false">C61*INDEX($B$42:$B$48,MATCH($B61,$C$42:$C$48,0))</f>
        <v>3725.7</v>
      </c>
      <c r="G61" s="16" t="n">
        <f aca="false">D61*INDEX($B$42:$B$48,MATCH($B61,$C$42:$C$48,0))</f>
        <v>6209.5</v>
      </c>
      <c r="H61" s="16" t="n">
        <f aca="false">E61*INDEX($B$42:$B$48,MATCH($B61,$C$42:$C$48,0))</f>
        <v>6209.5</v>
      </c>
      <c r="I61" s="6" t="s">
        <v>108</v>
      </c>
    </row>
    <row r="62" customFormat="false" ht="15" hidden="false" customHeight="false" outlineLevel="0" collapsed="false">
      <c r="A62" s="2" t="s">
        <v>109</v>
      </c>
    </row>
    <row r="65" customFormat="false" ht="15" hidden="false" customHeight="false" outlineLevel="0" collapsed="false">
      <c r="A65" s="3" t="s">
        <v>110</v>
      </c>
      <c r="B65" s="3"/>
      <c r="C65" s="3"/>
      <c r="D65" s="3"/>
    </row>
    <row r="66" customFormat="false" ht="15" hidden="false" customHeight="false" outlineLevel="0" collapsed="false">
      <c r="A66" s="14" t="s">
        <v>93</v>
      </c>
      <c r="B66" s="14" t="s">
        <v>111</v>
      </c>
      <c r="C66" s="14" t="s">
        <v>95</v>
      </c>
      <c r="D66" s="14" t="s">
        <v>96</v>
      </c>
      <c r="E66" s="14" t="s">
        <v>97</v>
      </c>
      <c r="F66" s="14" t="s">
        <v>112</v>
      </c>
    </row>
    <row r="67" customFormat="false" ht="15" hidden="false" customHeight="false" outlineLevel="0" collapsed="false">
      <c r="A67" s="4" t="s">
        <v>101</v>
      </c>
      <c r="B67" s="6" t="s">
        <v>102</v>
      </c>
      <c r="C67" s="16" t="n">
        <f aca="false">SUMIFS($F$52:$F$61,$I$52:$I$61,$B67)</f>
        <v>2733.3</v>
      </c>
      <c r="D67" s="16" t="n">
        <f aca="false">SUMIFS($G$52:$G$61,$I$52:$I$61,$B67)</f>
        <v>2733.3</v>
      </c>
      <c r="E67" s="16" t="n">
        <f aca="false">SUMIFS($H$52:$H$61,$I$52:$I$61,$B67)</f>
        <v>2733.3</v>
      </c>
      <c r="F67" s="9" t="n">
        <v>9111</v>
      </c>
    </row>
    <row r="68" customFormat="false" ht="15" hidden="false" customHeight="false" outlineLevel="0" collapsed="false">
      <c r="A68" s="4" t="s">
        <v>103</v>
      </c>
      <c r="B68" s="6" t="s">
        <v>104</v>
      </c>
      <c r="C68" s="16" t="n">
        <f aca="false">SUMIFS($F$52:$F$61,$I$52:$I$61,$B68)</f>
        <v>6265.3</v>
      </c>
      <c r="D68" s="16" t="n">
        <f aca="false">SUMIFS($G$52:$G$61,$I$52:$I$61,$B68)</f>
        <v>11288.7</v>
      </c>
      <c r="E68" s="16" t="n">
        <f aca="false">SUMIFS($H$52:$H$61,$I$52:$I$61,$B68)</f>
        <v>12558.5</v>
      </c>
      <c r="F68" s="9" t="n">
        <v>37535</v>
      </c>
    </row>
    <row r="69" customFormat="false" ht="15" hidden="false" customHeight="false" outlineLevel="0" collapsed="false">
      <c r="A69" s="4" t="s">
        <v>105</v>
      </c>
      <c r="B69" s="6" t="s">
        <v>106</v>
      </c>
      <c r="C69" s="16" t="n">
        <f aca="false">SUMIFS($F$52:$F$61,$I$52:$I$61,$B69)</f>
        <v>17198.2</v>
      </c>
      <c r="D69" s="16" t="n">
        <f aca="false">SUMIFS($G$52:$G$61,$I$52:$I$61,$B69)</f>
        <v>27173.8</v>
      </c>
      <c r="E69" s="16" t="n">
        <f aca="false">SUMIFS($H$52:$H$61,$I$52:$I$61,$B69)</f>
        <v>36735.5</v>
      </c>
      <c r="F69" s="9" t="n">
        <v>73470</v>
      </c>
    </row>
    <row r="70" customFormat="false" ht="15" hidden="false" customHeight="false" outlineLevel="0" collapsed="false">
      <c r="A70" s="4" t="s">
        <v>107</v>
      </c>
      <c r="B70" s="6" t="s">
        <v>108</v>
      </c>
      <c r="C70" s="16" t="n">
        <f aca="false">SUMIFS($F$52:$F$61,$I$52:$I$61,$B70)</f>
        <v>15522.2</v>
      </c>
      <c r="D70" s="16" t="n">
        <f aca="false">SUMIFS($G$52:$G$61,$I$52:$I$61,$B70)</f>
        <v>26450.3</v>
      </c>
      <c r="E70" s="16" t="n">
        <f aca="false">SUMIFS($H$52:$H$61,$I$52:$I$61,$B70)</f>
        <v>36012</v>
      </c>
      <c r="F70" s="9" t="n">
        <v>59605</v>
      </c>
    </row>
    <row r="71" customFormat="false" ht="15" hidden="false" customHeight="false" outlineLevel="0" collapsed="false">
      <c r="A71" s="2"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3"/>
    <col collapsed="false" customWidth="true" hidden="false" outlineLevel="0" max="4" min="4" style="0" width="10"/>
    <col collapsed="false" customWidth="true" hidden="false" outlineLevel="0" max="5" min="5" style="0" width="8"/>
    <col collapsed="false" customWidth="true" hidden="false" outlineLevel="0" max="6" min="6" style="0" width="16"/>
    <col collapsed="false" customWidth="true" hidden="false" outlineLevel="0" max="8" min="7" style="0" width="20"/>
    <col collapsed="false" customWidth="true" hidden="false" outlineLevel="0" max="10" min="9" style="0" width="15"/>
  </cols>
  <sheetData>
    <row r="1" customFormat="false" ht="16.15" hidden="false" customHeight="false" outlineLevel="0" collapsed="false">
      <c r="A1" s="1" t="s">
        <v>114</v>
      </c>
    </row>
    <row r="2" customFormat="false" ht="15" hidden="false" customHeight="false" outlineLevel="0" collapsed="false">
      <c r="A2" s="2" t="s">
        <v>115</v>
      </c>
    </row>
    <row r="4" customFormat="false" ht="23.85" hidden="false" customHeight="false" outlineLevel="0" collapsed="false">
      <c r="A4" s="17" t="s">
        <v>116</v>
      </c>
      <c r="B4" s="17" t="s">
        <v>117</v>
      </c>
      <c r="C4" s="17" t="s">
        <v>118</v>
      </c>
      <c r="D4" s="17" t="s">
        <v>119</v>
      </c>
      <c r="E4" s="17" t="s">
        <v>120</v>
      </c>
      <c r="F4" s="17" t="s">
        <v>121</v>
      </c>
      <c r="G4" s="17" t="s">
        <v>122</v>
      </c>
      <c r="H4" s="17" t="s">
        <v>123</v>
      </c>
      <c r="I4" s="17" t="s">
        <v>124</v>
      </c>
      <c r="J4" s="17" t="s">
        <v>125</v>
      </c>
    </row>
    <row r="5" customFormat="false" ht="15" hidden="false" customHeight="false" outlineLevel="0" collapsed="false">
      <c r="A5" s="18" t="n">
        <v>1</v>
      </c>
      <c r="B5" s="19" t="n">
        <f aca="false">(A5-0.5)/3</f>
        <v>0.166666666666667</v>
      </c>
      <c r="C5" s="20" t="n">
        <f aca="false">(1-EXP(-(Inputs!$B$15+Inputs!$B$16)*B5))/(1+(Inputs!$B$16/Inputs!$B$15)*EXP(-(Inputs!$B$15+Inputs!$B$16)*B5))</f>
        <v>0.00514815131880092</v>
      </c>
      <c r="D5" s="18" t="n">
        <f aca="false">MAX(ROUND(Inputs!$B$5*C5,0),1)</f>
        <v>2</v>
      </c>
      <c r="E5" s="18" t="n">
        <f aca="false">IF(C5&lt;0.16,1,IF(C5&lt;0.84,2,3))</f>
        <v>1</v>
      </c>
      <c r="F5" s="15" t="n">
        <f aca="false">D5*Inputs!$B$6*Inputs!$B$9</f>
        <v>880</v>
      </c>
      <c r="G5" s="15" t="n">
        <f aca="false">D5*Inputs!$B$6*Inputs!$B$7*Inputs!$B$9</f>
        <v>4400000</v>
      </c>
      <c r="H5" s="15" t="n">
        <f aca="false">D5*Inputs!$B$6*Inputs!$B$8*Inputs!$B$9</f>
        <v>880000</v>
      </c>
      <c r="I5" s="15" t="n">
        <f aca="false">D5*Inputs!$B$6*(Inputs!$B$7+Inputs!$B$8)*Inputs!$B$11/Inputs!$B$10</f>
        <v>25</v>
      </c>
      <c r="J5" s="18" t="n">
        <f aca="false">MAX(1,CEILING(I5/Inputs!$B$30,1))</f>
        <v>1</v>
      </c>
    </row>
    <row r="6" customFormat="false" ht="15" hidden="false" customHeight="false" outlineLevel="0" collapsed="false">
      <c r="A6" s="21" t="n">
        <v>2</v>
      </c>
      <c r="B6" s="22" t="n">
        <f aca="false">(A6-0.5)/3</f>
        <v>0.5</v>
      </c>
      <c r="C6" s="23" t="n">
        <f aca="false">(1-EXP(-(Inputs!$B$15+Inputs!$B$16)*B6))/(1+(Inputs!$B$16/Inputs!$B$15)*EXP(-(Inputs!$B$15+Inputs!$B$16)*B6))</f>
        <v>0.0163755524148426</v>
      </c>
      <c r="D6" s="21" t="n">
        <f aca="false">MAX(ROUND(Inputs!$B$5*C6,0),1)</f>
        <v>5</v>
      </c>
      <c r="E6" s="21" t="n">
        <f aca="false">IF(C6&lt;0.16,1,IF(C6&lt;0.84,2,3))</f>
        <v>1</v>
      </c>
      <c r="F6" s="24" t="n">
        <f aca="false">D6*Inputs!$B$6*Inputs!$B$9</f>
        <v>2200</v>
      </c>
      <c r="G6" s="24" t="n">
        <f aca="false">D6*Inputs!$B$6*Inputs!$B$7*Inputs!$B$9</f>
        <v>11000000</v>
      </c>
      <c r="H6" s="24" t="n">
        <f aca="false">D6*Inputs!$B$6*Inputs!$B$8*Inputs!$B$9</f>
        <v>2200000</v>
      </c>
      <c r="I6" s="24" t="n">
        <f aca="false">D6*Inputs!$B$6*(Inputs!$B$7+Inputs!$B$8)*Inputs!$B$11/Inputs!$B$10</f>
        <v>62.5</v>
      </c>
      <c r="J6" s="21" t="n">
        <f aca="false">MAX(1,CEILING(I6/Inputs!$B$30,1))</f>
        <v>1</v>
      </c>
    </row>
    <row r="7" customFormat="false" ht="15" hidden="false" customHeight="false" outlineLevel="0" collapsed="false">
      <c r="A7" s="18" t="n">
        <v>3</v>
      </c>
      <c r="B7" s="19" t="n">
        <f aca="false">(A7-0.5)/3</f>
        <v>0.833333333333333</v>
      </c>
      <c r="C7" s="20" t="n">
        <f aca="false">(1-EXP(-(Inputs!$B$15+Inputs!$B$16)*B7))/(1+(Inputs!$B$16/Inputs!$B$15)*EXP(-(Inputs!$B$15+Inputs!$B$16)*B7))</f>
        <v>0.0289393451642748</v>
      </c>
      <c r="D7" s="18" t="n">
        <f aca="false">MAX(ROUND(Inputs!$B$5*C7,0),1)</f>
        <v>9</v>
      </c>
      <c r="E7" s="18" t="n">
        <f aca="false">IF(C7&lt;0.16,1,IF(C7&lt;0.84,2,3))</f>
        <v>1</v>
      </c>
      <c r="F7" s="15" t="n">
        <f aca="false">D7*Inputs!$B$6*Inputs!$B$9</f>
        <v>3960</v>
      </c>
      <c r="G7" s="15" t="n">
        <f aca="false">D7*Inputs!$B$6*Inputs!$B$7*Inputs!$B$9</f>
        <v>19800000</v>
      </c>
      <c r="H7" s="15" t="n">
        <f aca="false">D7*Inputs!$B$6*Inputs!$B$8*Inputs!$B$9</f>
        <v>3960000</v>
      </c>
      <c r="I7" s="15" t="n">
        <f aca="false">D7*Inputs!$B$6*(Inputs!$B$7+Inputs!$B$8)*Inputs!$B$11/Inputs!$B$10</f>
        <v>112.5</v>
      </c>
      <c r="J7" s="18" t="n">
        <f aca="false">MAX(1,CEILING(I7/Inputs!$B$30,1))</f>
        <v>1</v>
      </c>
    </row>
    <row r="8" customFormat="false" ht="15" hidden="false" customHeight="false" outlineLevel="0" collapsed="false">
      <c r="A8" s="21" t="n">
        <v>4</v>
      </c>
      <c r="B8" s="22" t="n">
        <f aca="false">(A8-0.5)/3</f>
        <v>1.16666666666667</v>
      </c>
      <c r="C8" s="23" t="n">
        <f aca="false">(1-EXP(-(Inputs!$B$15+Inputs!$B$16)*B8))/(1+(Inputs!$B$16/Inputs!$B$15)*EXP(-(Inputs!$B$15+Inputs!$B$16)*B8))</f>
        <v>0.0429538548109501</v>
      </c>
      <c r="D8" s="21" t="n">
        <f aca="false">MAX(ROUND(Inputs!$B$5*C8,0),1)</f>
        <v>13</v>
      </c>
      <c r="E8" s="21" t="n">
        <f aca="false">IF(C8&lt;0.16,1,IF(C8&lt;0.84,2,3))</f>
        <v>1</v>
      </c>
      <c r="F8" s="24" t="n">
        <f aca="false">D8*Inputs!$B$6*Inputs!$B$9</f>
        <v>5720</v>
      </c>
      <c r="G8" s="24" t="n">
        <f aca="false">D8*Inputs!$B$6*Inputs!$B$7*Inputs!$B$9</f>
        <v>28600000</v>
      </c>
      <c r="H8" s="24" t="n">
        <f aca="false">D8*Inputs!$B$6*Inputs!$B$8*Inputs!$B$9</f>
        <v>5720000</v>
      </c>
      <c r="I8" s="24" t="n">
        <f aca="false">D8*Inputs!$B$6*(Inputs!$B$7+Inputs!$B$8)*Inputs!$B$11/Inputs!$B$10</f>
        <v>162.5</v>
      </c>
      <c r="J8" s="21" t="n">
        <f aca="false">MAX(1,CEILING(I8/Inputs!$B$30,1))</f>
        <v>1</v>
      </c>
    </row>
    <row r="9" customFormat="false" ht="15" hidden="false" customHeight="false" outlineLevel="0" collapsed="false">
      <c r="A9" s="18" t="n">
        <v>5</v>
      </c>
      <c r="B9" s="19" t="n">
        <f aca="false">(A9-0.5)/3</f>
        <v>1.5</v>
      </c>
      <c r="C9" s="20" t="n">
        <f aca="false">(1-EXP(-(Inputs!$B$15+Inputs!$B$16)*B9))/(1+(Inputs!$B$16/Inputs!$B$15)*EXP(-(Inputs!$B$15+Inputs!$B$16)*B9))</f>
        <v>0.0585311159014498</v>
      </c>
      <c r="D9" s="18" t="n">
        <f aca="false">MAX(ROUND(Inputs!$B$5*C9,0),1)</f>
        <v>18</v>
      </c>
      <c r="E9" s="18" t="n">
        <f aca="false">IF(C9&lt;0.16,1,IF(C9&lt;0.84,2,3))</f>
        <v>1</v>
      </c>
      <c r="F9" s="15" t="n">
        <f aca="false">D9*Inputs!$B$6*Inputs!$B$9</f>
        <v>7920</v>
      </c>
      <c r="G9" s="15" t="n">
        <f aca="false">D9*Inputs!$B$6*Inputs!$B$7*Inputs!$B$9</f>
        <v>39600000</v>
      </c>
      <c r="H9" s="15" t="n">
        <f aca="false">D9*Inputs!$B$6*Inputs!$B$8*Inputs!$B$9</f>
        <v>7920000</v>
      </c>
      <c r="I9" s="15" t="n">
        <f aca="false">D9*Inputs!$B$6*(Inputs!$B$7+Inputs!$B$8)*Inputs!$B$11/Inputs!$B$10</f>
        <v>225</v>
      </c>
      <c r="J9" s="18" t="n">
        <f aca="false">MAX(1,CEILING(I9/Inputs!$B$30,1))</f>
        <v>1</v>
      </c>
    </row>
    <row r="10" customFormat="false" ht="15" hidden="false" customHeight="false" outlineLevel="0" collapsed="false">
      <c r="A10" s="21" t="n">
        <v>6</v>
      </c>
      <c r="B10" s="22" t="n">
        <f aca="false">(A10-0.5)/3</f>
        <v>1.83333333333333</v>
      </c>
      <c r="C10" s="23" t="n">
        <f aca="false">(1-EXP(-(Inputs!$B$15+Inputs!$B$16)*B10))/(1+(Inputs!$B$16/Inputs!$B$15)*EXP(-(Inputs!$B$15+Inputs!$B$16)*B10))</f>
        <v>0.07577712119811</v>
      </c>
      <c r="D10" s="21" t="n">
        <f aca="false">MAX(ROUND(Inputs!$B$5*C10,0),1)</f>
        <v>23</v>
      </c>
      <c r="E10" s="21" t="n">
        <f aca="false">IF(C10&lt;0.16,1,IF(C10&lt;0.84,2,3))</f>
        <v>1</v>
      </c>
      <c r="F10" s="24" t="n">
        <f aca="false">D10*Inputs!$B$6*Inputs!$B$9</f>
        <v>10120</v>
      </c>
      <c r="G10" s="24" t="n">
        <f aca="false">D10*Inputs!$B$6*Inputs!$B$7*Inputs!$B$9</f>
        <v>50600000</v>
      </c>
      <c r="H10" s="24" t="n">
        <f aca="false">D10*Inputs!$B$6*Inputs!$B$8*Inputs!$B$9</f>
        <v>10120000</v>
      </c>
      <c r="I10" s="24" t="n">
        <f aca="false">D10*Inputs!$B$6*(Inputs!$B$7+Inputs!$B$8)*Inputs!$B$11/Inputs!$B$10</f>
        <v>287.5</v>
      </c>
      <c r="J10" s="21" t="n">
        <f aca="false">MAX(1,CEILING(I10/Inputs!$B$30,1))</f>
        <v>1</v>
      </c>
    </row>
    <row r="11" customFormat="false" ht="15" hidden="false" customHeight="false" outlineLevel="0" collapsed="false">
      <c r="A11" s="18" t="n">
        <v>7</v>
      </c>
      <c r="B11" s="19" t="n">
        <f aca="false">(A11-0.5)/3</f>
        <v>2.16666666666667</v>
      </c>
      <c r="C11" s="20" t="n">
        <f aca="false">(1-EXP(-(Inputs!$B$15+Inputs!$B$16)*B11))/(1+(Inputs!$B$16/Inputs!$B$15)*EXP(-(Inputs!$B$15+Inputs!$B$16)*B11))</f>
        <v>0.0947873240118873</v>
      </c>
      <c r="D11" s="18" t="n">
        <f aca="false">MAX(ROUND(Inputs!$B$5*C11,0),1)</f>
        <v>28</v>
      </c>
      <c r="E11" s="18" t="n">
        <f aca="false">IF(C11&lt;0.16,1,IF(C11&lt;0.84,2,3))</f>
        <v>1</v>
      </c>
      <c r="F11" s="15" t="n">
        <f aca="false">D11*Inputs!$B$6*Inputs!$B$9</f>
        <v>12320</v>
      </c>
      <c r="G11" s="15" t="n">
        <f aca="false">D11*Inputs!$B$6*Inputs!$B$7*Inputs!$B$9</f>
        <v>61600000</v>
      </c>
      <c r="H11" s="15" t="n">
        <f aca="false">D11*Inputs!$B$6*Inputs!$B$8*Inputs!$B$9</f>
        <v>12320000</v>
      </c>
      <c r="I11" s="15" t="n">
        <f aca="false">D11*Inputs!$B$6*(Inputs!$B$7+Inputs!$B$8)*Inputs!$B$11/Inputs!$B$10</f>
        <v>350</v>
      </c>
      <c r="J11" s="18" t="n">
        <f aca="false">MAX(1,CEILING(I11/Inputs!$B$30,1))</f>
        <v>1</v>
      </c>
    </row>
    <row r="12" customFormat="false" ht="15" hidden="false" customHeight="false" outlineLevel="0" collapsed="false">
      <c r="A12" s="21" t="n">
        <v>8</v>
      </c>
      <c r="B12" s="22" t="n">
        <f aca="false">(A12-0.5)/3</f>
        <v>2.5</v>
      </c>
      <c r="C12" s="23" t="n">
        <f aca="false">(1-EXP(-(Inputs!$B$15+Inputs!$B$16)*B12))/(1+(Inputs!$B$16/Inputs!$B$15)*EXP(-(Inputs!$B$15+Inputs!$B$16)*B12))</f>
        <v>0.115641450014081</v>
      </c>
      <c r="D12" s="21" t="n">
        <f aca="false">MAX(ROUND(Inputs!$B$5*C12,0),1)</f>
        <v>35</v>
      </c>
      <c r="E12" s="21" t="n">
        <f aca="false">IF(C12&lt;0.16,1,IF(C12&lt;0.84,2,3))</f>
        <v>1</v>
      </c>
      <c r="F12" s="24" t="n">
        <f aca="false">D12*Inputs!$B$6*Inputs!$B$9</f>
        <v>15400</v>
      </c>
      <c r="G12" s="24" t="n">
        <f aca="false">D12*Inputs!$B$6*Inputs!$B$7*Inputs!$B$9</f>
        <v>77000000</v>
      </c>
      <c r="H12" s="24" t="n">
        <f aca="false">D12*Inputs!$B$6*Inputs!$B$8*Inputs!$B$9</f>
        <v>15400000</v>
      </c>
      <c r="I12" s="24" t="n">
        <f aca="false">D12*Inputs!$B$6*(Inputs!$B$7+Inputs!$B$8)*Inputs!$B$11/Inputs!$B$10</f>
        <v>437.5</v>
      </c>
      <c r="J12" s="21" t="n">
        <f aca="false">MAX(1,CEILING(I12/Inputs!$B$30,1))</f>
        <v>1</v>
      </c>
    </row>
    <row r="13" customFormat="false" ht="15" hidden="false" customHeight="false" outlineLevel="0" collapsed="false">
      <c r="A13" s="18" t="n">
        <v>9</v>
      </c>
      <c r="B13" s="19" t="n">
        <f aca="false">(A13-0.5)/3</f>
        <v>2.83333333333333</v>
      </c>
      <c r="C13" s="20" t="n">
        <f aca="false">(1-EXP(-(Inputs!$B$15+Inputs!$B$16)*B13))/(1+(Inputs!$B$16/Inputs!$B$15)*EXP(-(Inputs!$B$15+Inputs!$B$16)*B13))</f>
        <v>0.138397756112126</v>
      </c>
      <c r="D13" s="18" t="n">
        <f aca="false">MAX(ROUND(Inputs!$B$5*C13,0),1)</f>
        <v>42</v>
      </c>
      <c r="E13" s="18" t="n">
        <f aca="false">IF(C13&lt;0.16,1,IF(C13&lt;0.84,2,3))</f>
        <v>1</v>
      </c>
      <c r="F13" s="15" t="n">
        <f aca="false">D13*Inputs!$B$6*Inputs!$B$9</f>
        <v>18480</v>
      </c>
      <c r="G13" s="15" t="n">
        <f aca="false">D13*Inputs!$B$6*Inputs!$B$7*Inputs!$B$9</f>
        <v>92400000</v>
      </c>
      <c r="H13" s="15" t="n">
        <f aca="false">D13*Inputs!$B$6*Inputs!$B$8*Inputs!$B$9</f>
        <v>18480000</v>
      </c>
      <c r="I13" s="15" t="n">
        <f aca="false">D13*Inputs!$B$6*(Inputs!$B$7+Inputs!$B$8)*Inputs!$B$11/Inputs!$B$10</f>
        <v>525</v>
      </c>
      <c r="J13" s="18" t="n">
        <f aca="false">MAX(1,CEILING(I13/Inputs!$B$30,1))</f>
        <v>1</v>
      </c>
    </row>
    <row r="14" customFormat="false" ht="15" hidden="false" customHeight="false" outlineLevel="0" collapsed="false">
      <c r="A14" s="21" t="n">
        <v>10</v>
      </c>
      <c r="B14" s="22" t="n">
        <f aca="false">(A14-0.5)/3</f>
        <v>3.16666666666667</v>
      </c>
      <c r="C14" s="23" t="n">
        <f aca="false">(1-EXP(-(Inputs!$B$15+Inputs!$B$16)*B14))/(1+(Inputs!$B$16/Inputs!$B$15)*EXP(-(Inputs!$B$15+Inputs!$B$16)*B14))</f>
        <v>0.163086971908059</v>
      </c>
      <c r="D14" s="21" t="n">
        <f aca="false">MAX(ROUND(Inputs!$B$5*C14,0),1)</f>
        <v>49</v>
      </c>
      <c r="E14" s="21" t="n">
        <f aca="false">IF(C14&lt;0.16,1,IF(C14&lt;0.84,2,3))</f>
        <v>2</v>
      </c>
      <c r="F14" s="24" t="n">
        <f aca="false">D14*Inputs!$B$6*Inputs!$B$9</f>
        <v>21560</v>
      </c>
      <c r="G14" s="24" t="n">
        <f aca="false">D14*Inputs!$B$6*Inputs!$B$7*Inputs!$B$9</f>
        <v>107800000</v>
      </c>
      <c r="H14" s="24" t="n">
        <f aca="false">D14*Inputs!$B$6*Inputs!$B$8*Inputs!$B$9</f>
        <v>21560000</v>
      </c>
      <c r="I14" s="24" t="n">
        <f aca="false">D14*Inputs!$B$6*(Inputs!$B$7+Inputs!$B$8)*Inputs!$B$11/Inputs!$B$10</f>
        <v>612.5</v>
      </c>
      <c r="J14" s="21" t="n">
        <f aca="false">MAX(1,CEILING(I14/Inputs!$B$30,1))</f>
        <v>1</v>
      </c>
    </row>
    <row r="15" customFormat="false" ht="15" hidden="false" customHeight="false" outlineLevel="0" collapsed="false">
      <c r="A15" s="18" t="n">
        <v>11</v>
      </c>
      <c r="B15" s="19" t="n">
        <f aca="false">(A15-0.5)/3</f>
        <v>3.5</v>
      </c>
      <c r="C15" s="20" t="n">
        <f aca="false">(1-EXP(-(Inputs!$B$15+Inputs!$B$16)*B15))/(1+(Inputs!$B$16/Inputs!$B$15)*EXP(-(Inputs!$B$15+Inputs!$B$16)*B15))</f>
        <v>0.189706265978966</v>
      </c>
      <c r="D15" s="18" t="n">
        <f aca="false">MAX(ROUND(Inputs!$B$5*C15,0),1)</f>
        <v>57</v>
      </c>
      <c r="E15" s="18" t="n">
        <f aca="false">IF(C15&lt;0.16,1,IF(C15&lt;0.84,2,3))</f>
        <v>2</v>
      </c>
      <c r="F15" s="15" t="n">
        <f aca="false">D15*Inputs!$B$6*Inputs!$B$9</f>
        <v>25080</v>
      </c>
      <c r="G15" s="15" t="n">
        <f aca="false">D15*Inputs!$B$6*Inputs!$B$7*Inputs!$B$9</f>
        <v>125400000</v>
      </c>
      <c r="H15" s="15" t="n">
        <f aca="false">D15*Inputs!$B$6*Inputs!$B$8*Inputs!$B$9</f>
        <v>25080000</v>
      </c>
      <c r="I15" s="15" t="n">
        <f aca="false">D15*Inputs!$B$6*(Inputs!$B$7+Inputs!$B$8)*Inputs!$B$11/Inputs!$B$10</f>
        <v>712.5</v>
      </c>
      <c r="J15" s="18" t="n">
        <f aca="false">MAX(1,CEILING(I15/Inputs!$B$30,1))</f>
        <v>1</v>
      </c>
    </row>
    <row r="16" customFormat="false" ht="15" hidden="false" customHeight="false" outlineLevel="0" collapsed="false">
      <c r="A16" s="21" t="n">
        <v>12</v>
      </c>
      <c r="B16" s="22" t="n">
        <f aca="false">(A16-0.5)/3</f>
        <v>3.83333333333333</v>
      </c>
      <c r="C16" s="23" t="n">
        <f aca="false">(1-EXP(-(Inputs!$B$15+Inputs!$B$16)*B16))/(1+(Inputs!$B$16/Inputs!$B$15)*EXP(-(Inputs!$B$15+Inputs!$B$16)*B16))</f>
        <v>0.218213681791203</v>
      </c>
      <c r="D16" s="21" t="n">
        <f aca="false">MAX(ROUND(Inputs!$B$5*C16,0),1)</f>
        <v>65</v>
      </c>
      <c r="E16" s="21" t="n">
        <f aca="false">IF(C16&lt;0.16,1,IF(C16&lt;0.84,2,3))</f>
        <v>2</v>
      </c>
      <c r="F16" s="24" t="n">
        <f aca="false">D16*Inputs!$B$6*Inputs!$B$9</f>
        <v>28600</v>
      </c>
      <c r="G16" s="24" t="n">
        <f aca="false">D16*Inputs!$B$6*Inputs!$B$7*Inputs!$B$9</f>
        <v>143000000</v>
      </c>
      <c r="H16" s="24" t="n">
        <f aca="false">D16*Inputs!$B$6*Inputs!$B$8*Inputs!$B$9</f>
        <v>28600000</v>
      </c>
      <c r="I16" s="24" t="n">
        <f aca="false">D16*Inputs!$B$6*(Inputs!$B$7+Inputs!$B$8)*Inputs!$B$11/Inputs!$B$10</f>
        <v>812.5</v>
      </c>
      <c r="J16" s="21" t="n">
        <f aca="false">MAX(1,CEILING(I16/Inputs!$B$30,1))</f>
        <v>1</v>
      </c>
    </row>
    <row r="17" customFormat="false" ht="15" hidden="false" customHeight="false" outlineLevel="0" collapsed="false">
      <c r="A17" s="18" t="n">
        <v>13</v>
      </c>
      <c r="B17" s="19" t="n">
        <f aca="false">(A17-0.5)/3</f>
        <v>4.16666666666667</v>
      </c>
      <c r="C17" s="20" t="n">
        <f aca="false">(1-EXP(-(Inputs!$B$15+Inputs!$B$16)*B17))/(1+(Inputs!$B$16/Inputs!$B$15)*EXP(-(Inputs!$B$15+Inputs!$B$16)*B17))</f>
        <v>0.248523568527785</v>
      </c>
      <c r="D17" s="18" t="n">
        <f aca="false">MAX(ROUND(Inputs!$B$5*C17,0),1)</f>
        <v>75</v>
      </c>
      <c r="E17" s="18" t="n">
        <f aca="false">IF(C17&lt;0.16,1,IF(C17&lt;0.84,2,3))</f>
        <v>2</v>
      </c>
      <c r="F17" s="15" t="n">
        <f aca="false">D17*Inputs!$B$6*Inputs!$B$9</f>
        <v>33000</v>
      </c>
      <c r="G17" s="15" t="n">
        <f aca="false">D17*Inputs!$B$6*Inputs!$B$7*Inputs!$B$9</f>
        <v>165000000</v>
      </c>
      <c r="H17" s="15" t="n">
        <f aca="false">D17*Inputs!$B$6*Inputs!$B$8*Inputs!$B$9</f>
        <v>33000000</v>
      </c>
      <c r="I17" s="15" t="n">
        <f aca="false">D17*Inputs!$B$6*(Inputs!$B$7+Inputs!$B$8)*Inputs!$B$11/Inputs!$B$10</f>
        <v>937.5</v>
      </c>
      <c r="J17" s="18" t="n">
        <f aca="false">MAX(1,CEILING(I17/Inputs!$B$30,1))</f>
        <v>1</v>
      </c>
    </row>
    <row r="18" customFormat="false" ht="15" hidden="false" customHeight="false" outlineLevel="0" collapsed="false">
      <c r="A18" s="21" t="n">
        <v>14</v>
      </c>
      <c r="B18" s="22" t="n">
        <f aca="false">(A18-0.5)/3</f>
        <v>4.5</v>
      </c>
      <c r="C18" s="23" t="n">
        <f aca="false">(1-EXP(-(Inputs!$B$15+Inputs!$B$16)*B18))/(1+(Inputs!$B$16/Inputs!$B$15)*EXP(-(Inputs!$B$15+Inputs!$B$16)*B18))</f>
        <v>0.280503569361826</v>
      </c>
      <c r="D18" s="21" t="n">
        <f aca="false">MAX(ROUND(Inputs!$B$5*C18,0),1)</f>
        <v>84</v>
      </c>
      <c r="E18" s="21" t="n">
        <f aca="false">IF(C18&lt;0.16,1,IF(C18&lt;0.84,2,3))</f>
        <v>2</v>
      </c>
      <c r="F18" s="24" t="n">
        <f aca="false">D18*Inputs!$B$6*Inputs!$B$9</f>
        <v>36960</v>
      </c>
      <c r="G18" s="24" t="n">
        <f aca="false">D18*Inputs!$B$6*Inputs!$B$7*Inputs!$B$9</f>
        <v>184800000</v>
      </c>
      <c r="H18" s="24" t="n">
        <f aca="false">D18*Inputs!$B$6*Inputs!$B$8*Inputs!$B$9</f>
        <v>36960000</v>
      </c>
      <c r="I18" s="24" t="n">
        <f aca="false">D18*Inputs!$B$6*(Inputs!$B$7+Inputs!$B$8)*Inputs!$B$11/Inputs!$B$10</f>
        <v>1050</v>
      </c>
      <c r="J18" s="21" t="n">
        <f aca="false">MAX(1,CEILING(I18/Inputs!$B$30,1))</f>
        <v>1</v>
      </c>
    </row>
    <row r="19" customFormat="false" ht="15" hidden="false" customHeight="false" outlineLevel="0" collapsed="false">
      <c r="A19" s="18" t="n">
        <v>15</v>
      </c>
      <c r="B19" s="19" t="n">
        <f aca="false">(A19-0.5)/3</f>
        <v>4.83333333333333</v>
      </c>
      <c r="C19" s="20" t="n">
        <f aca="false">(1-EXP(-(Inputs!$B$15+Inputs!$B$16)*B19))/(1+(Inputs!$B$16/Inputs!$B$15)*EXP(-(Inputs!$B$15+Inputs!$B$16)*B19))</f>
        <v>0.313973703199502</v>
      </c>
      <c r="D19" s="18" t="n">
        <f aca="false">MAX(ROUND(Inputs!$B$5*C19,0),1)</f>
        <v>94</v>
      </c>
      <c r="E19" s="18" t="n">
        <f aca="false">IF(C19&lt;0.16,1,IF(C19&lt;0.84,2,3))</f>
        <v>2</v>
      </c>
      <c r="F19" s="15" t="n">
        <f aca="false">D19*Inputs!$B$6*Inputs!$B$9</f>
        <v>41360</v>
      </c>
      <c r="G19" s="15" t="n">
        <f aca="false">D19*Inputs!$B$6*Inputs!$B$7*Inputs!$B$9</f>
        <v>206800000</v>
      </c>
      <c r="H19" s="15" t="n">
        <f aca="false">D19*Inputs!$B$6*Inputs!$B$8*Inputs!$B$9</f>
        <v>41360000</v>
      </c>
      <c r="I19" s="15" t="n">
        <f aca="false">D19*Inputs!$B$6*(Inputs!$B$7+Inputs!$B$8)*Inputs!$B$11/Inputs!$B$10</f>
        <v>1175</v>
      </c>
      <c r="J19" s="18" t="n">
        <f aca="false">MAX(1,CEILING(I19/Inputs!$B$30,1))</f>
        <v>1</v>
      </c>
    </row>
    <row r="20" customFormat="false" ht="15" hidden="false" customHeight="false" outlineLevel="0" collapsed="false">
      <c r="A20" s="21" t="n">
        <v>16</v>
      </c>
      <c r="B20" s="22" t="n">
        <f aca="false">(A20-0.5)/3</f>
        <v>5.16666666666667</v>
      </c>
      <c r="C20" s="23" t="n">
        <f aca="false">(1-EXP(-(Inputs!$B$15+Inputs!$B$16)*B20))/(1+(Inputs!$B$16/Inputs!$B$15)*EXP(-(Inputs!$B$15+Inputs!$B$16)*B20))</f>
        <v>0.3487079709254</v>
      </c>
      <c r="D20" s="21" t="n">
        <f aca="false">MAX(ROUND(Inputs!$B$5*C20,0),1)</f>
        <v>105</v>
      </c>
      <c r="E20" s="21" t="n">
        <f aca="false">IF(C20&lt;0.16,1,IF(C20&lt;0.84,2,3))</f>
        <v>2</v>
      </c>
      <c r="F20" s="24" t="n">
        <f aca="false">D20*Inputs!$B$6*Inputs!$B$9</f>
        <v>46200</v>
      </c>
      <c r="G20" s="24" t="n">
        <f aca="false">D20*Inputs!$B$6*Inputs!$B$7*Inputs!$B$9</f>
        <v>231000000</v>
      </c>
      <c r="H20" s="24" t="n">
        <f aca="false">D20*Inputs!$B$6*Inputs!$B$8*Inputs!$B$9</f>
        <v>46200000</v>
      </c>
      <c r="I20" s="24" t="n">
        <f aca="false">D20*Inputs!$B$6*(Inputs!$B$7+Inputs!$B$8)*Inputs!$B$11/Inputs!$B$10</f>
        <v>1312.5</v>
      </c>
      <c r="J20" s="21" t="n">
        <f aca="false">MAX(1,CEILING(I20/Inputs!$B$30,1))</f>
        <v>1</v>
      </c>
    </row>
    <row r="21" customFormat="false" ht="15" hidden="false" customHeight="false" outlineLevel="0" collapsed="false">
      <c r="A21" s="18" t="n">
        <v>17</v>
      </c>
      <c r="B21" s="19" t="n">
        <f aca="false">(A21-0.5)/3</f>
        <v>5.5</v>
      </c>
      <c r="C21" s="20" t="n">
        <f aca="false">(1-EXP(-(Inputs!$B$15+Inputs!$B$16)*B21))/(1+(Inputs!$B$16/Inputs!$B$15)*EXP(-(Inputs!$B$15+Inputs!$B$16)*B21))</f>
        <v>0.38443873059228</v>
      </c>
      <c r="D21" s="18" t="n">
        <f aca="false">MAX(ROUND(Inputs!$B$5*C21,0),1)</f>
        <v>115</v>
      </c>
      <c r="E21" s="18" t="n">
        <f aca="false">IF(C21&lt;0.16,1,IF(C21&lt;0.84,2,3))</f>
        <v>2</v>
      </c>
      <c r="F21" s="15" t="n">
        <f aca="false">D21*Inputs!$B$6*Inputs!$B$9</f>
        <v>50600</v>
      </c>
      <c r="G21" s="15" t="n">
        <f aca="false">D21*Inputs!$B$6*Inputs!$B$7*Inputs!$B$9</f>
        <v>253000000</v>
      </c>
      <c r="H21" s="15" t="n">
        <f aca="false">D21*Inputs!$B$6*Inputs!$B$8*Inputs!$B$9</f>
        <v>50600000</v>
      </c>
      <c r="I21" s="15" t="n">
        <f aca="false">D21*Inputs!$B$6*(Inputs!$B$7+Inputs!$B$8)*Inputs!$B$11/Inputs!$B$10</f>
        <v>1437.5</v>
      </c>
      <c r="J21" s="18" t="n">
        <f aca="false">MAX(1,CEILING(I21/Inputs!$B$30,1))</f>
        <v>1</v>
      </c>
    </row>
    <row r="22" customFormat="false" ht="15" hidden="false" customHeight="false" outlineLevel="0" collapsed="false">
      <c r="A22" s="21" t="n">
        <v>18</v>
      </c>
      <c r="B22" s="22" t="n">
        <f aca="false">(A22-0.5)/3</f>
        <v>5.83333333333333</v>
      </c>
      <c r="C22" s="23" t="n">
        <f aca="false">(1-EXP(-(Inputs!$B$15+Inputs!$B$16)*B22))/(1+(Inputs!$B$16/Inputs!$B$15)*EXP(-(Inputs!$B$15+Inputs!$B$16)*B22))</f>
        <v>0.420863830784304</v>
      </c>
      <c r="D22" s="21" t="n">
        <f aca="false">MAX(ROUND(Inputs!$B$5*C22,0),1)</f>
        <v>126</v>
      </c>
      <c r="E22" s="21" t="n">
        <f aca="false">IF(C22&lt;0.16,1,IF(C22&lt;0.84,2,3))</f>
        <v>2</v>
      </c>
      <c r="F22" s="24" t="n">
        <f aca="false">D22*Inputs!$B$6*Inputs!$B$9</f>
        <v>55440</v>
      </c>
      <c r="G22" s="24" t="n">
        <f aca="false">D22*Inputs!$B$6*Inputs!$B$7*Inputs!$B$9</f>
        <v>277200000</v>
      </c>
      <c r="H22" s="24" t="n">
        <f aca="false">D22*Inputs!$B$6*Inputs!$B$8*Inputs!$B$9</f>
        <v>55440000</v>
      </c>
      <c r="I22" s="24" t="n">
        <f aca="false">D22*Inputs!$B$6*(Inputs!$B$7+Inputs!$B$8)*Inputs!$B$11/Inputs!$B$10</f>
        <v>1575</v>
      </c>
      <c r="J22" s="21" t="n">
        <f aca="false">MAX(1,CEILING(I22/Inputs!$B$30,1))</f>
        <v>1</v>
      </c>
    </row>
    <row r="23" customFormat="false" ht="15" hidden="false" customHeight="false" outlineLevel="0" collapsed="false">
      <c r="A23" s="18" t="n">
        <v>19</v>
      </c>
      <c r="B23" s="19" t="n">
        <f aca="false">(A23-0.5)/3</f>
        <v>6.16666666666667</v>
      </c>
      <c r="C23" s="20" t="n">
        <f aca="false">(1-EXP(-(Inputs!$B$15+Inputs!$B$16)*B23))/(1+(Inputs!$B$16/Inputs!$B$15)*EXP(-(Inputs!$B$15+Inputs!$B$16)*B23))</f>
        <v>0.457656197825007</v>
      </c>
      <c r="D23" s="18" t="n">
        <f aca="false">MAX(ROUND(Inputs!$B$5*C23,0),1)</f>
        <v>137</v>
      </c>
      <c r="E23" s="18" t="n">
        <f aca="false">IF(C23&lt;0.16,1,IF(C23&lt;0.84,2,3))</f>
        <v>2</v>
      </c>
      <c r="F23" s="15" t="n">
        <f aca="false">D23*Inputs!$B$6*Inputs!$B$9</f>
        <v>60280</v>
      </c>
      <c r="G23" s="15" t="n">
        <f aca="false">D23*Inputs!$B$6*Inputs!$B$7*Inputs!$B$9</f>
        <v>301400000</v>
      </c>
      <c r="H23" s="15" t="n">
        <f aca="false">D23*Inputs!$B$6*Inputs!$B$8*Inputs!$B$9</f>
        <v>60280000</v>
      </c>
      <c r="I23" s="15" t="n">
        <f aca="false">D23*Inputs!$B$6*(Inputs!$B$7+Inputs!$B$8)*Inputs!$B$11/Inputs!$B$10</f>
        <v>1712.5</v>
      </c>
      <c r="J23" s="18" t="n">
        <f aca="false">MAX(1,CEILING(I23/Inputs!$B$30,1))</f>
        <v>1</v>
      </c>
    </row>
    <row r="24" customFormat="false" ht="15" hidden="false" customHeight="false" outlineLevel="0" collapsed="false">
      <c r="A24" s="21" t="n">
        <v>20</v>
      </c>
      <c r="B24" s="22" t="n">
        <f aca="false">(A24-0.5)/3</f>
        <v>6.5</v>
      </c>
      <c r="C24" s="23" t="n">
        <f aca="false">(1-EXP(-(Inputs!$B$15+Inputs!$B$16)*B24))/(1+(Inputs!$B$16/Inputs!$B$15)*EXP(-(Inputs!$B$15+Inputs!$B$16)*B24))</f>
        <v>0.494475284606963</v>
      </c>
      <c r="D24" s="21" t="n">
        <f aca="false">MAX(ROUND(Inputs!$B$5*C24,0),1)</f>
        <v>148</v>
      </c>
      <c r="E24" s="21" t="n">
        <f aca="false">IF(C24&lt;0.16,1,IF(C24&lt;0.84,2,3))</f>
        <v>2</v>
      </c>
      <c r="F24" s="24" t="n">
        <f aca="false">D24*Inputs!$B$6*Inputs!$B$9</f>
        <v>65120</v>
      </c>
      <c r="G24" s="24" t="n">
        <f aca="false">D24*Inputs!$B$6*Inputs!$B$7*Inputs!$B$9</f>
        <v>325600000</v>
      </c>
      <c r="H24" s="24" t="n">
        <f aca="false">D24*Inputs!$B$6*Inputs!$B$8*Inputs!$B$9</f>
        <v>65120000</v>
      </c>
      <c r="I24" s="24" t="n">
        <f aca="false">D24*Inputs!$B$6*(Inputs!$B$7+Inputs!$B$8)*Inputs!$B$11/Inputs!$B$10</f>
        <v>1850</v>
      </c>
      <c r="J24" s="21" t="n">
        <f aca="false">MAX(1,CEILING(I24/Inputs!$B$30,1))</f>
        <v>1</v>
      </c>
    </row>
    <row r="25" customFormat="false" ht="15" hidden="false" customHeight="false" outlineLevel="0" collapsed="false">
      <c r="A25" s="18" t="n">
        <v>21</v>
      </c>
      <c r="B25" s="19" t="n">
        <f aca="false">(A25-0.5)/3</f>
        <v>6.83333333333333</v>
      </c>
      <c r="C25" s="20" t="n">
        <f aca="false">(1-EXP(-(Inputs!$B$15+Inputs!$B$16)*B25))/(1+(Inputs!$B$16/Inputs!$B$15)*EXP(-(Inputs!$B$15+Inputs!$B$16)*B25))</f>
        <v>0.530979555937106</v>
      </c>
      <c r="D25" s="18" t="n">
        <f aca="false">MAX(ROUND(Inputs!$B$5*C25,0),1)</f>
        <v>159</v>
      </c>
      <c r="E25" s="18" t="n">
        <f aca="false">IF(C25&lt;0.16,1,IF(C25&lt;0.84,2,3))</f>
        <v>2</v>
      </c>
      <c r="F25" s="15" t="n">
        <f aca="false">D25*Inputs!$B$6*Inputs!$B$9</f>
        <v>69960</v>
      </c>
      <c r="G25" s="15" t="n">
        <f aca="false">D25*Inputs!$B$6*Inputs!$B$7*Inputs!$B$9</f>
        <v>349800000</v>
      </c>
      <c r="H25" s="15" t="n">
        <f aca="false">D25*Inputs!$B$6*Inputs!$B$8*Inputs!$B$9</f>
        <v>69960000</v>
      </c>
      <c r="I25" s="15" t="n">
        <f aca="false">D25*Inputs!$B$6*(Inputs!$B$7+Inputs!$B$8)*Inputs!$B$11/Inputs!$B$10</f>
        <v>1987.5</v>
      </c>
      <c r="J25" s="18" t="n">
        <f aca="false">MAX(1,CEILING(I25/Inputs!$B$30,1))</f>
        <v>1</v>
      </c>
    </row>
    <row r="26" customFormat="false" ht="15" hidden="false" customHeight="false" outlineLevel="0" collapsed="false">
      <c r="A26" s="21" t="n">
        <v>22</v>
      </c>
      <c r="B26" s="22" t="n">
        <f aca="false">(A26-0.5)/3</f>
        <v>7.16666666666667</v>
      </c>
      <c r="C26" s="23" t="n">
        <f aca="false">(1-EXP(-(Inputs!$B$15+Inputs!$B$16)*B26))/(1+(Inputs!$B$16/Inputs!$B$15)*EXP(-(Inputs!$B$15+Inputs!$B$16)*B26))</f>
        <v>0.566839050710847</v>
      </c>
      <c r="D26" s="21" t="n">
        <f aca="false">MAX(ROUND(Inputs!$B$5*C26,0),1)</f>
        <v>170</v>
      </c>
      <c r="E26" s="21" t="n">
        <f aca="false">IF(C26&lt;0.16,1,IF(C26&lt;0.84,2,3))</f>
        <v>2</v>
      </c>
      <c r="F26" s="24" t="n">
        <f aca="false">D26*Inputs!$B$6*Inputs!$B$9</f>
        <v>74800</v>
      </c>
      <c r="G26" s="24" t="n">
        <f aca="false">D26*Inputs!$B$6*Inputs!$B$7*Inputs!$B$9</f>
        <v>374000000</v>
      </c>
      <c r="H26" s="24" t="n">
        <f aca="false">D26*Inputs!$B$6*Inputs!$B$8*Inputs!$B$9</f>
        <v>74800000</v>
      </c>
      <c r="I26" s="24" t="n">
        <f aca="false">D26*Inputs!$B$6*(Inputs!$B$7+Inputs!$B$8)*Inputs!$B$11/Inputs!$B$10</f>
        <v>2125</v>
      </c>
      <c r="J26" s="21" t="n">
        <f aca="false">MAX(1,CEILING(I26/Inputs!$B$30,1))</f>
        <v>1</v>
      </c>
    </row>
    <row r="27" customFormat="false" ht="15" hidden="false" customHeight="false" outlineLevel="0" collapsed="false">
      <c r="A27" s="18" t="n">
        <v>23</v>
      </c>
      <c r="B27" s="19" t="n">
        <f aca="false">(A27-0.5)/3</f>
        <v>7.5</v>
      </c>
      <c r="C27" s="20" t="n">
        <f aca="false">(1-EXP(-(Inputs!$B$15+Inputs!$B$16)*B27))/(1+(Inputs!$B$16/Inputs!$B$15)*EXP(-(Inputs!$B$15+Inputs!$B$16)*B27))</f>
        <v>0.601747051119324</v>
      </c>
      <c r="D27" s="18" t="n">
        <f aca="false">MAX(ROUND(Inputs!$B$5*C27,0),1)</f>
        <v>181</v>
      </c>
      <c r="E27" s="18" t="n">
        <f aca="false">IF(C27&lt;0.16,1,IF(C27&lt;0.84,2,3))</f>
        <v>2</v>
      </c>
      <c r="F27" s="15" t="n">
        <f aca="false">D27*Inputs!$B$6*Inputs!$B$9</f>
        <v>79640</v>
      </c>
      <c r="G27" s="15" t="n">
        <f aca="false">D27*Inputs!$B$6*Inputs!$B$7*Inputs!$B$9</f>
        <v>398200000</v>
      </c>
      <c r="H27" s="15" t="n">
        <f aca="false">D27*Inputs!$B$6*Inputs!$B$8*Inputs!$B$9</f>
        <v>79640000</v>
      </c>
      <c r="I27" s="15" t="n">
        <f aca="false">D27*Inputs!$B$6*(Inputs!$B$7+Inputs!$B$8)*Inputs!$B$11/Inputs!$B$10</f>
        <v>2262.5</v>
      </c>
      <c r="J27" s="18" t="n">
        <f aca="false">MAX(1,CEILING(I27/Inputs!$B$30,1))</f>
        <v>1</v>
      </c>
    </row>
    <row r="28" customFormat="false" ht="15" hidden="false" customHeight="false" outlineLevel="0" collapsed="false">
      <c r="A28" s="21" t="n">
        <v>24</v>
      </c>
      <c r="B28" s="22" t="n">
        <f aca="false">(A28-0.5)/3</f>
        <v>7.83333333333333</v>
      </c>
      <c r="C28" s="23" t="n">
        <f aca="false">(1-EXP(-(Inputs!$B$15+Inputs!$B$16)*B28))/(1+(Inputs!$B$16/Inputs!$B$15)*EXP(-(Inputs!$B$15+Inputs!$B$16)*B28))</f>
        <v>0.635430005454348</v>
      </c>
      <c r="D28" s="21" t="n">
        <f aca="false">MAX(ROUND(Inputs!$B$5*C28,0),1)</f>
        <v>191</v>
      </c>
      <c r="E28" s="21" t="n">
        <f aca="false">IF(C28&lt;0.16,1,IF(C28&lt;0.84,2,3))</f>
        <v>2</v>
      </c>
      <c r="F28" s="24" t="n">
        <f aca="false">D28*Inputs!$B$6*Inputs!$B$9</f>
        <v>84040</v>
      </c>
      <c r="G28" s="24" t="n">
        <f aca="false">D28*Inputs!$B$6*Inputs!$B$7*Inputs!$B$9</f>
        <v>420200000</v>
      </c>
      <c r="H28" s="24" t="n">
        <f aca="false">D28*Inputs!$B$6*Inputs!$B$8*Inputs!$B$9</f>
        <v>84040000</v>
      </c>
      <c r="I28" s="24" t="n">
        <f aca="false">D28*Inputs!$B$6*(Inputs!$B$7+Inputs!$B$8)*Inputs!$B$11/Inputs!$B$10</f>
        <v>2387.5</v>
      </c>
      <c r="J28" s="21" t="n">
        <f aca="false">MAX(1,CEILING(I28/Inputs!$B$30,1))</f>
        <v>1</v>
      </c>
    </row>
    <row r="29" customFormat="false" ht="15" hidden="false" customHeight="false" outlineLevel="0" collapsed="false">
      <c r="A29" s="18" t="n">
        <v>25</v>
      </c>
      <c r="B29" s="19" t="n">
        <f aca="false">(A29-0.5)/3</f>
        <v>8.16666666666667</v>
      </c>
      <c r="C29" s="20" t="n">
        <f aca="false">(1-EXP(-(Inputs!$B$15+Inputs!$B$16)*B29))/(1+(Inputs!$B$16/Inputs!$B$15)*EXP(-(Inputs!$B$15+Inputs!$B$16)*B29))</f>
        <v>0.667655071180867</v>
      </c>
      <c r="D29" s="18" t="n">
        <f aca="false">MAX(ROUND(Inputs!$B$5*C29,0),1)</f>
        <v>200</v>
      </c>
      <c r="E29" s="18" t="n">
        <f aca="false">IF(C29&lt;0.16,1,IF(C29&lt;0.84,2,3))</f>
        <v>2</v>
      </c>
      <c r="F29" s="15" t="n">
        <f aca="false">D29*Inputs!$B$6*Inputs!$B$9</f>
        <v>88000</v>
      </c>
      <c r="G29" s="15" t="n">
        <f aca="false">D29*Inputs!$B$6*Inputs!$B$7*Inputs!$B$9</f>
        <v>440000000</v>
      </c>
      <c r="H29" s="15" t="n">
        <f aca="false">D29*Inputs!$B$6*Inputs!$B$8*Inputs!$B$9</f>
        <v>88000000</v>
      </c>
      <c r="I29" s="15" t="n">
        <f aca="false">D29*Inputs!$B$6*(Inputs!$B$7+Inputs!$B$8)*Inputs!$B$11/Inputs!$B$10</f>
        <v>2500</v>
      </c>
      <c r="J29" s="18" t="n">
        <f aca="false">MAX(1,CEILING(I29/Inputs!$B$30,1))</f>
        <v>2</v>
      </c>
    </row>
    <row r="30" customFormat="false" ht="15" hidden="false" customHeight="false" outlineLevel="0" collapsed="false">
      <c r="A30" s="21" t="n">
        <v>26</v>
      </c>
      <c r="B30" s="22" t="n">
        <f aca="false">(A30-0.5)/3</f>
        <v>8.5</v>
      </c>
      <c r="C30" s="23" t="n">
        <f aca="false">(1-EXP(-(Inputs!$B$15+Inputs!$B$16)*B30))/(1+(Inputs!$B$16/Inputs!$B$15)*EXP(-(Inputs!$B$15+Inputs!$B$16)*B30))</f>
        <v>0.698234927505874</v>
      </c>
      <c r="D30" s="21" t="n">
        <f aca="false">MAX(ROUND(Inputs!$B$5*C30,0),1)</f>
        <v>209</v>
      </c>
      <c r="E30" s="21" t="n">
        <f aca="false">IF(C30&lt;0.16,1,IF(C30&lt;0.84,2,3))</f>
        <v>2</v>
      </c>
      <c r="F30" s="24" t="n">
        <f aca="false">D30*Inputs!$B$6*Inputs!$B$9</f>
        <v>91960</v>
      </c>
      <c r="G30" s="24" t="n">
        <f aca="false">D30*Inputs!$B$6*Inputs!$B$7*Inputs!$B$9</f>
        <v>459800000</v>
      </c>
      <c r="H30" s="24" t="n">
        <f aca="false">D30*Inputs!$B$6*Inputs!$B$8*Inputs!$B$9</f>
        <v>91960000</v>
      </c>
      <c r="I30" s="24" t="n">
        <f aca="false">D30*Inputs!$B$6*(Inputs!$B$7+Inputs!$B$8)*Inputs!$B$11/Inputs!$B$10</f>
        <v>2612.5</v>
      </c>
      <c r="J30" s="21" t="n">
        <f aca="false">MAX(1,CEILING(I30/Inputs!$B$30,1))</f>
        <v>2</v>
      </c>
    </row>
    <row r="31" customFormat="false" ht="15" hidden="false" customHeight="false" outlineLevel="0" collapsed="false">
      <c r="A31" s="18" t="n">
        <v>27</v>
      </c>
      <c r="B31" s="19" t="n">
        <f aca="false">(A31-0.5)/3</f>
        <v>8.83333333333333</v>
      </c>
      <c r="C31" s="20" t="n">
        <f aca="false">(1-EXP(-(Inputs!$B$15+Inputs!$B$16)*B31))/(1+(Inputs!$B$16/Inputs!$B$15)*EXP(-(Inputs!$B$15+Inputs!$B$16)*B31))</f>
        <v>0.727029802496199</v>
      </c>
      <c r="D31" s="18" t="n">
        <f aca="false">MAX(ROUND(Inputs!$B$5*C31,0),1)</f>
        <v>218</v>
      </c>
      <c r="E31" s="18" t="n">
        <f aca="false">IF(C31&lt;0.16,1,IF(C31&lt;0.84,2,3))</f>
        <v>2</v>
      </c>
      <c r="F31" s="15" t="n">
        <f aca="false">D31*Inputs!$B$6*Inputs!$B$9</f>
        <v>95920</v>
      </c>
      <c r="G31" s="15" t="n">
        <f aca="false">D31*Inputs!$B$6*Inputs!$B$7*Inputs!$B$9</f>
        <v>479600000</v>
      </c>
      <c r="H31" s="15" t="n">
        <f aca="false">D31*Inputs!$B$6*Inputs!$B$8*Inputs!$B$9</f>
        <v>95920000</v>
      </c>
      <c r="I31" s="15" t="n">
        <f aca="false">D31*Inputs!$B$6*(Inputs!$B$7+Inputs!$B$8)*Inputs!$B$11/Inputs!$B$10</f>
        <v>2725</v>
      </c>
      <c r="J31" s="18" t="n">
        <f aca="false">MAX(1,CEILING(I31/Inputs!$B$30,1))</f>
        <v>2</v>
      </c>
    </row>
    <row r="32" customFormat="false" ht="15" hidden="false" customHeight="false" outlineLevel="0" collapsed="false">
      <c r="A32" s="21" t="n">
        <v>28</v>
      </c>
      <c r="B32" s="22" t="n">
        <f aca="false">(A32-0.5)/3</f>
        <v>9.16666666666667</v>
      </c>
      <c r="C32" s="23" t="n">
        <f aca="false">(1-EXP(-(Inputs!$B$15+Inputs!$B$16)*B32))/(1+(Inputs!$B$16/Inputs!$B$15)*EXP(-(Inputs!$B$15+Inputs!$B$16)*B32))</f>
        <v>0.753946923387115</v>
      </c>
      <c r="D32" s="21" t="n">
        <f aca="false">MAX(ROUND(Inputs!$B$5*C32,0),1)</f>
        <v>226</v>
      </c>
      <c r="E32" s="21" t="n">
        <f aca="false">IF(C32&lt;0.16,1,IF(C32&lt;0.84,2,3))</f>
        <v>2</v>
      </c>
      <c r="F32" s="24" t="n">
        <f aca="false">D32*Inputs!$B$6*Inputs!$B$9</f>
        <v>99440</v>
      </c>
      <c r="G32" s="24" t="n">
        <f aca="false">D32*Inputs!$B$6*Inputs!$B$7*Inputs!$B$9</f>
        <v>497200000</v>
      </c>
      <c r="H32" s="24" t="n">
        <f aca="false">D32*Inputs!$B$6*Inputs!$B$8*Inputs!$B$9</f>
        <v>99440000</v>
      </c>
      <c r="I32" s="24" t="n">
        <f aca="false">D32*Inputs!$B$6*(Inputs!$B$7+Inputs!$B$8)*Inputs!$B$11/Inputs!$B$10</f>
        <v>2825</v>
      </c>
      <c r="J32" s="21" t="n">
        <f aca="false">MAX(1,CEILING(I32/Inputs!$B$30,1))</f>
        <v>2</v>
      </c>
    </row>
    <row r="33" customFormat="false" ht="15" hidden="false" customHeight="false" outlineLevel="0" collapsed="false">
      <c r="A33" s="18" t="n">
        <v>29</v>
      </c>
      <c r="B33" s="19" t="n">
        <f aca="false">(A33-0.5)/3</f>
        <v>9.5</v>
      </c>
      <c r="C33" s="20" t="n">
        <f aca="false">(1-EXP(-(Inputs!$B$15+Inputs!$B$16)*B33))/(1+(Inputs!$B$16/Inputs!$B$15)*EXP(-(Inputs!$B$15+Inputs!$B$16)*B33))</f>
        <v>0.778937797298819</v>
      </c>
      <c r="D33" s="18" t="n">
        <f aca="false">MAX(ROUND(Inputs!$B$5*C33,0),1)</f>
        <v>234</v>
      </c>
      <c r="E33" s="18" t="n">
        <f aca="false">IF(C33&lt;0.16,1,IF(C33&lt;0.84,2,3))</f>
        <v>2</v>
      </c>
      <c r="F33" s="15" t="n">
        <f aca="false">D33*Inputs!$B$6*Inputs!$B$9</f>
        <v>102960</v>
      </c>
      <c r="G33" s="15" t="n">
        <f aca="false">D33*Inputs!$B$6*Inputs!$B$7*Inputs!$B$9</f>
        <v>514800000</v>
      </c>
      <c r="H33" s="15" t="n">
        <f aca="false">D33*Inputs!$B$6*Inputs!$B$8*Inputs!$B$9</f>
        <v>102960000</v>
      </c>
      <c r="I33" s="15" t="n">
        <f aca="false">D33*Inputs!$B$6*(Inputs!$B$7+Inputs!$B$8)*Inputs!$B$11/Inputs!$B$10</f>
        <v>2925</v>
      </c>
      <c r="J33" s="18" t="n">
        <f aca="false">MAX(1,CEILING(I33/Inputs!$B$30,1))</f>
        <v>2</v>
      </c>
    </row>
    <row r="34" customFormat="false" ht="15" hidden="false" customHeight="false" outlineLevel="0" collapsed="false">
      <c r="A34" s="21" t="n">
        <v>30</v>
      </c>
      <c r="B34" s="22" t="n">
        <f aca="false">(A34-0.5)/3</f>
        <v>9.83333333333333</v>
      </c>
      <c r="C34" s="23" t="n">
        <f aca="false">(1-EXP(-(Inputs!$B$15+Inputs!$B$16)*B34))/(1+(Inputs!$B$16/Inputs!$B$15)*EXP(-(Inputs!$B$15+Inputs!$B$16)*B34))</f>
        <v>0.801993847436812</v>
      </c>
      <c r="D34" s="21" t="n">
        <f aca="false">MAX(ROUND(Inputs!$B$5*C34,0),1)</f>
        <v>241</v>
      </c>
      <c r="E34" s="21" t="n">
        <f aca="false">IF(C34&lt;0.16,1,IF(C34&lt;0.84,2,3))</f>
        <v>2</v>
      </c>
      <c r="F34" s="24" t="n">
        <f aca="false">D34*Inputs!$B$6*Inputs!$B$9</f>
        <v>106040</v>
      </c>
      <c r="G34" s="24" t="n">
        <f aca="false">D34*Inputs!$B$6*Inputs!$B$7*Inputs!$B$9</f>
        <v>530200000</v>
      </c>
      <c r="H34" s="24" t="n">
        <f aca="false">D34*Inputs!$B$6*Inputs!$B$8*Inputs!$B$9</f>
        <v>106040000</v>
      </c>
      <c r="I34" s="24" t="n">
        <f aca="false">D34*Inputs!$B$6*(Inputs!$B$7+Inputs!$B$8)*Inputs!$B$11/Inputs!$B$10</f>
        <v>3012.5</v>
      </c>
      <c r="J34" s="21" t="n">
        <f aca="false">MAX(1,CEILING(I34/Inputs!$B$30,1))</f>
        <v>2</v>
      </c>
    </row>
    <row r="35" customFormat="false" ht="15" hidden="false" customHeight="false" outlineLevel="0" collapsed="false">
      <c r="A35" s="18" t="n">
        <v>31</v>
      </c>
      <c r="B35" s="19" t="n">
        <f aca="false">(A35-0.5)/3</f>
        <v>10.1666666666667</v>
      </c>
      <c r="C35" s="20" t="n">
        <f aca="false">(1-EXP(-(Inputs!$B$15+Inputs!$B$16)*B35))/(1+(Inputs!$B$16/Inputs!$B$15)*EXP(-(Inputs!$B$15+Inputs!$B$16)*B35))</f>
        <v>0.82314096784276</v>
      </c>
      <c r="D35" s="18" t="n">
        <f aca="false">MAX(ROUND(Inputs!$B$5*C35,0),1)</f>
        <v>247</v>
      </c>
      <c r="E35" s="18" t="n">
        <f aca="false">IF(C35&lt;0.16,1,IF(C35&lt;0.84,2,3))</f>
        <v>2</v>
      </c>
      <c r="F35" s="15" t="n">
        <f aca="false">D35*Inputs!$B$6*Inputs!$B$9</f>
        <v>108680</v>
      </c>
      <c r="G35" s="15" t="n">
        <f aca="false">D35*Inputs!$B$6*Inputs!$B$7*Inputs!$B$9</f>
        <v>543400000</v>
      </c>
      <c r="H35" s="15" t="n">
        <f aca="false">D35*Inputs!$B$6*Inputs!$B$8*Inputs!$B$9</f>
        <v>108680000</v>
      </c>
      <c r="I35" s="15" t="n">
        <f aca="false">D35*Inputs!$B$6*(Inputs!$B$7+Inputs!$B$8)*Inputs!$B$11/Inputs!$B$10</f>
        <v>3087.5</v>
      </c>
      <c r="J35" s="18" t="n">
        <f aca="false">MAX(1,CEILING(I35/Inputs!$B$30,1))</f>
        <v>2</v>
      </c>
    </row>
    <row r="36" customFormat="false" ht="15" hidden="false" customHeight="false" outlineLevel="0" collapsed="false">
      <c r="A36" s="21" t="n">
        <v>32</v>
      </c>
      <c r="B36" s="22" t="n">
        <f aca="false">(A36-0.5)/3</f>
        <v>10.5</v>
      </c>
      <c r="C36" s="23" t="n">
        <f aca="false">(1-EXP(-(Inputs!$B$15+Inputs!$B$16)*B36))/(1+(Inputs!$B$16/Inputs!$B$15)*EXP(-(Inputs!$B$15+Inputs!$B$16)*B36))</f>
        <v>0.842433531167239</v>
      </c>
      <c r="D36" s="21" t="n">
        <f aca="false">MAX(ROUND(Inputs!$B$5*C36,0),1)</f>
        <v>253</v>
      </c>
      <c r="E36" s="21" t="n">
        <f aca="false">IF(C36&lt;0.16,1,IF(C36&lt;0.84,2,3))</f>
        <v>3</v>
      </c>
      <c r="F36" s="24" t="n">
        <f aca="false">D36*Inputs!$B$6*Inputs!$B$9</f>
        <v>111320</v>
      </c>
      <c r="G36" s="24" t="n">
        <f aca="false">D36*Inputs!$B$6*Inputs!$B$7*Inputs!$B$9</f>
        <v>556600000</v>
      </c>
      <c r="H36" s="24" t="n">
        <f aca="false">D36*Inputs!$B$6*Inputs!$B$8*Inputs!$B$9</f>
        <v>111320000</v>
      </c>
      <c r="I36" s="24" t="n">
        <f aca="false">D36*Inputs!$B$6*(Inputs!$B$7+Inputs!$B$8)*Inputs!$B$11/Inputs!$B$10</f>
        <v>3162.5</v>
      </c>
      <c r="J36" s="21" t="n">
        <f aca="false">MAX(1,CEILING(I36/Inputs!$B$30,1))</f>
        <v>2</v>
      </c>
    </row>
    <row r="37" customFormat="false" ht="15" hidden="false" customHeight="false" outlineLevel="0" collapsed="false">
      <c r="A37" s="18" t="n">
        <v>33</v>
      </c>
      <c r="B37" s="19" t="n">
        <f aca="false">(A37-0.5)/3</f>
        <v>10.8333333333333</v>
      </c>
      <c r="C37" s="20" t="n">
        <f aca="false">(1-EXP(-(Inputs!$B$15+Inputs!$B$16)*B37))/(1+(Inputs!$B$16/Inputs!$B$15)*EXP(-(Inputs!$B$15+Inputs!$B$16)*B37))</f>
        <v>0.859948308771204</v>
      </c>
      <c r="D37" s="18" t="n">
        <f aca="false">MAX(ROUND(Inputs!$B$5*C37,0),1)</f>
        <v>258</v>
      </c>
      <c r="E37" s="18" t="n">
        <f aca="false">IF(C37&lt;0.16,1,IF(C37&lt;0.84,2,3))</f>
        <v>3</v>
      </c>
      <c r="F37" s="15" t="n">
        <f aca="false">D37*Inputs!$B$6*Inputs!$B$9</f>
        <v>113520</v>
      </c>
      <c r="G37" s="15" t="n">
        <f aca="false">D37*Inputs!$B$6*Inputs!$B$7*Inputs!$B$9</f>
        <v>567600000</v>
      </c>
      <c r="H37" s="15" t="n">
        <f aca="false">D37*Inputs!$B$6*Inputs!$B$8*Inputs!$B$9</f>
        <v>113520000</v>
      </c>
      <c r="I37" s="15" t="n">
        <f aca="false">D37*Inputs!$B$6*(Inputs!$B$7+Inputs!$B$8)*Inputs!$B$11/Inputs!$B$10</f>
        <v>3225</v>
      </c>
      <c r="J37" s="18" t="n">
        <f aca="false">MAX(1,CEILING(I37/Inputs!$B$30,1))</f>
        <v>2</v>
      </c>
    </row>
    <row r="38" customFormat="false" ht="15" hidden="false" customHeight="false" outlineLevel="0" collapsed="false">
      <c r="A38" s="21" t="n">
        <v>34</v>
      </c>
      <c r="B38" s="22" t="n">
        <f aca="false">(A38-0.5)/3</f>
        <v>11.1666666666667</v>
      </c>
      <c r="C38" s="23" t="n">
        <f aca="false">(1-EXP(-(Inputs!$B$15+Inputs!$B$16)*B38))/(1+(Inputs!$B$16/Inputs!$B$15)*EXP(-(Inputs!$B$15+Inputs!$B$16)*B38))</f>
        <v>0.875778662041527</v>
      </c>
      <c r="D38" s="21" t="n">
        <f aca="false">MAX(ROUND(Inputs!$B$5*C38,0),1)</f>
        <v>263</v>
      </c>
      <c r="E38" s="21" t="n">
        <f aca="false">IF(C38&lt;0.16,1,IF(C38&lt;0.84,2,3))</f>
        <v>3</v>
      </c>
      <c r="F38" s="24" t="n">
        <f aca="false">D38*Inputs!$B$6*Inputs!$B$9</f>
        <v>115720</v>
      </c>
      <c r="G38" s="24" t="n">
        <f aca="false">D38*Inputs!$B$6*Inputs!$B$7*Inputs!$B$9</f>
        <v>578600000</v>
      </c>
      <c r="H38" s="24" t="n">
        <f aca="false">D38*Inputs!$B$6*Inputs!$B$8*Inputs!$B$9</f>
        <v>115720000</v>
      </c>
      <c r="I38" s="24" t="n">
        <f aca="false">D38*Inputs!$B$6*(Inputs!$B$7+Inputs!$B$8)*Inputs!$B$11/Inputs!$B$10</f>
        <v>3287.5</v>
      </c>
      <c r="J38" s="21" t="n">
        <f aca="false">MAX(1,CEILING(I38/Inputs!$B$30,1))</f>
        <v>2</v>
      </c>
    </row>
    <row r="39" customFormat="false" ht="15" hidden="false" customHeight="false" outlineLevel="0" collapsed="false">
      <c r="A39" s="18" t="n">
        <v>35</v>
      </c>
      <c r="B39" s="19" t="n">
        <f aca="false">(A39-0.5)/3</f>
        <v>11.5</v>
      </c>
      <c r="C39" s="20" t="n">
        <f aca="false">(1-EXP(-(Inputs!$B$15+Inputs!$B$16)*B39))/(1+(Inputs!$B$16/Inputs!$B$15)*EXP(-(Inputs!$B$15+Inputs!$B$16)*B39))</f>
        <v>0.890029256743468</v>
      </c>
      <c r="D39" s="18" t="n">
        <f aca="false">MAX(ROUND(Inputs!$B$5*C39,0),1)</f>
        <v>267</v>
      </c>
      <c r="E39" s="18" t="n">
        <f aca="false">IF(C39&lt;0.16,1,IF(C39&lt;0.84,2,3))</f>
        <v>3</v>
      </c>
      <c r="F39" s="15" t="n">
        <f aca="false">D39*Inputs!$B$6*Inputs!$B$9</f>
        <v>117480</v>
      </c>
      <c r="G39" s="15" t="n">
        <f aca="false">D39*Inputs!$B$6*Inputs!$B$7*Inputs!$B$9</f>
        <v>587400000</v>
      </c>
      <c r="H39" s="15" t="n">
        <f aca="false">D39*Inputs!$B$6*Inputs!$B$8*Inputs!$B$9</f>
        <v>117480000</v>
      </c>
      <c r="I39" s="15" t="n">
        <f aca="false">D39*Inputs!$B$6*(Inputs!$B$7+Inputs!$B$8)*Inputs!$B$11/Inputs!$B$10</f>
        <v>3337.5</v>
      </c>
      <c r="J39" s="18" t="n">
        <f aca="false">MAX(1,CEILING(I39/Inputs!$B$30,1))</f>
        <v>2</v>
      </c>
    </row>
    <row r="40" customFormat="false" ht="15" hidden="false" customHeight="false" outlineLevel="0" collapsed="false">
      <c r="A40" s="21" t="n">
        <v>36</v>
      </c>
      <c r="B40" s="22" t="n">
        <f aca="false">(A40-0.5)/3</f>
        <v>11.8333333333333</v>
      </c>
      <c r="C40" s="23" t="n">
        <f aca="false">(1-EXP(-(Inputs!$B$15+Inputs!$B$16)*B40))/(1+(Inputs!$B$16/Inputs!$B$15)*EXP(-(Inputs!$B$15+Inputs!$B$16)*B40))</f>
        <v>0.902811452300648</v>
      </c>
      <c r="D40" s="21" t="n">
        <f aca="false">MAX(ROUND(Inputs!$B$5*C40,0),1)</f>
        <v>271</v>
      </c>
      <c r="E40" s="21" t="n">
        <f aca="false">IF(C40&lt;0.16,1,IF(C40&lt;0.84,2,3))</f>
        <v>3</v>
      </c>
      <c r="F40" s="24" t="n">
        <f aca="false">D40*Inputs!$B$6*Inputs!$B$9</f>
        <v>119240</v>
      </c>
      <c r="G40" s="24" t="n">
        <f aca="false">D40*Inputs!$B$6*Inputs!$B$7*Inputs!$B$9</f>
        <v>596200000</v>
      </c>
      <c r="H40" s="24" t="n">
        <f aca="false">D40*Inputs!$B$6*Inputs!$B$8*Inputs!$B$9</f>
        <v>119240000</v>
      </c>
      <c r="I40" s="24" t="n">
        <f aca="false">D40*Inputs!$B$6*(Inputs!$B$7+Inputs!$B$8)*Inputs!$B$11/Inputs!$B$10</f>
        <v>3387.5</v>
      </c>
      <c r="J40" s="21" t="n">
        <f aca="false">MAX(1,CEILING(I40/Inputs!$B$30,1))</f>
        <v>2</v>
      </c>
    </row>
    <row r="42" customFormat="false" ht="15" hidden="false" customHeight="false" outlineLevel="0" collapsed="false">
      <c r="A42" s="2"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3" min="2" style="0" width="13"/>
  </cols>
  <sheetData>
    <row r="1" customFormat="false" ht="16.15" hidden="false" customHeight="false" outlineLevel="0" collapsed="false">
      <c r="A1" s="1" t="s">
        <v>127</v>
      </c>
    </row>
    <row r="2" customFormat="false" ht="15" hidden="false" customHeight="false" outlineLevel="0" collapsed="false">
      <c r="A2" s="2" t="s">
        <v>128</v>
      </c>
    </row>
    <row r="3" customFormat="false" ht="15" hidden="false" customHeight="false" outlineLevel="0" collapsed="false">
      <c r="B3" s="14" t="s">
        <v>101</v>
      </c>
      <c r="E3" s="14" t="s">
        <v>103</v>
      </c>
      <c r="H3" s="14" t="s">
        <v>105</v>
      </c>
      <c r="K3" s="14" t="s">
        <v>107</v>
      </c>
    </row>
    <row r="4" customFormat="false" ht="15" hidden="false" customHeight="false" outlineLevel="0" collapsed="false">
      <c r="A4" s="3" t="s">
        <v>116</v>
      </c>
      <c r="B4" s="3" t="s">
        <v>129</v>
      </c>
      <c r="C4" s="3" t="s">
        <v>130</v>
      </c>
      <c r="D4" s="3" t="s">
        <v>131</v>
      </c>
      <c r="E4" s="3" t="s">
        <v>129</v>
      </c>
      <c r="F4" s="3" t="s">
        <v>130</v>
      </c>
      <c r="G4" s="3" t="s">
        <v>131</v>
      </c>
      <c r="H4" s="3" t="s">
        <v>129</v>
      </c>
      <c r="I4" s="3" t="s">
        <v>130</v>
      </c>
      <c r="J4" s="3" t="s">
        <v>131</v>
      </c>
      <c r="K4" s="3" t="s">
        <v>129</v>
      </c>
      <c r="L4" s="3" t="s">
        <v>130</v>
      </c>
      <c r="M4" s="3" t="s">
        <v>131</v>
      </c>
    </row>
    <row r="5" customFormat="false" ht="15" hidden="false" customHeight="false" outlineLevel="0" collapsed="false">
      <c r="A5" s="18" t="n">
        <v>1</v>
      </c>
      <c r="B5" s="15" t="n">
        <f aca="false">Inputs!$B$19*Inputs!$B$5 + CEILING(Adoption!F5*Inputs!$B$20/Inputs!$B$21,1)*Inputs!$B$22</f>
        <v>7666</v>
      </c>
      <c r="C5" s="15" t="n">
        <v>0</v>
      </c>
      <c r="D5" s="15" t="n">
        <f aca="false">INDEX(Inputs!$C$67:$E$67,Adoption!E5)</f>
        <v>2733.3</v>
      </c>
      <c r="E5" s="15" t="n">
        <f aca="false">Adoption!G5/1000000*Inputs!$B$25 + Adoption!H5/1000000*Inputs!$B$26</f>
        <v>20.1344</v>
      </c>
      <c r="F5" s="15" t="n">
        <v>0</v>
      </c>
      <c r="G5" s="15" t="n">
        <f aca="false">INDEX(Inputs!$C$68:$E$68,Adoption!E5)</f>
        <v>6265.3</v>
      </c>
      <c r="H5" s="15" t="n">
        <v>0</v>
      </c>
      <c r="I5" s="15" t="n">
        <f aca="false">Adoption!J5*Inputs!$B$29</f>
        <v>12126</v>
      </c>
      <c r="J5" s="15" t="n">
        <f aca="false">INDEX(Inputs!$C$69:$E$69,Adoption!E5)</f>
        <v>17198.2</v>
      </c>
      <c r="K5" s="15" t="n">
        <v>0</v>
      </c>
      <c r="L5" s="15" t="n">
        <f aca="false">Adoption!J5*Inputs!$B$39</f>
        <v>4331.23111111111</v>
      </c>
      <c r="M5" s="15" t="n">
        <f aca="false">INDEX(Inputs!$C$70:$E$70,Adoption!E5)</f>
        <v>15522.2</v>
      </c>
    </row>
    <row r="6" customFormat="false" ht="15" hidden="false" customHeight="false" outlineLevel="0" collapsed="false">
      <c r="A6" s="21" t="n">
        <v>2</v>
      </c>
      <c r="B6" s="24" t="n">
        <f aca="false">Inputs!$B$19*Inputs!$B$5 + CEILING(Adoption!F6*Inputs!$B$20/Inputs!$B$21,1)*Inputs!$B$22</f>
        <v>7666</v>
      </c>
      <c r="C6" s="24" t="n">
        <v>0</v>
      </c>
      <c r="D6" s="24" t="n">
        <f aca="false">INDEX(Inputs!$C$67:$E$67,Adoption!E6)</f>
        <v>2733.3</v>
      </c>
      <c r="E6" s="24" t="n">
        <f aca="false">Adoption!G6/1000000*Inputs!$B$25 + Adoption!H6/1000000*Inputs!$B$26</f>
        <v>50.336</v>
      </c>
      <c r="F6" s="24" t="n">
        <v>0</v>
      </c>
      <c r="G6" s="24" t="n">
        <f aca="false">INDEX(Inputs!$C$68:$E$68,Adoption!E6)</f>
        <v>6265.3</v>
      </c>
      <c r="H6" s="24" t="n">
        <v>0</v>
      </c>
      <c r="I6" s="24" t="n">
        <f aca="false">Adoption!J6*Inputs!$B$29</f>
        <v>12126</v>
      </c>
      <c r="J6" s="24" t="n">
        <f aca="false">INDEX(Inputs!$C$69:$E$69,Adoption!E6)</f>
        <v>17198.2</v>
      </c>
      <c r="K6" s="24" t="n">
        <v>0</v>
      </c>
      <c r="L6" s="24" t="n">
        <f aca="false">Adoption!J6*Inputs!$B$39</f>
        <v>4331.23111111111</v>
      </c>
      <c r="M6" s="24" t="n">
        <f aca="false">INDEX(Inputs!$C$70:$E$70,Adoption!E6)</f>
        <v>15522.2</v>
      </c>
    </row>
    <row r="7" customFormat="false" ht="15" hidden="false" customHeight="false" outlineLevel="0" collapsed="false">
      <c r="A7" s="18" t="n">
        <v>3</v>
      </c>
      <c r="B7" s="15" t="n">
        <f aca="false">Inputs!$B$19*Inputs!$B$5 + CEILING(Adoption!F7*Inputs!$B$20/Inputs!$B$21,1)*Inputs!$B$22</f>
        <v>7832</v>
      </c>
      <c r="C7" s="15" t="n">
        <v>0</v>
      </c>
      <c r="D7" s="15" t="n">
        <f aca="false">INDEX(Inputs!$C$67:$E$67,Adoption!E7)</f>
        <v>2733.3</v>
      </c>
      <c r="E7" s="15" t="n">
        <f aca="false">Adoption!G7/1000000*Inputs!$B$25 + Adoption!H7/1000000*Inputs!$B$26</f>
        <v>90.6048</v>
      </c>
      <c r="F7" s="15" t="n">
        <v>0</v>
      </c>
      <c r="G7" s="15" t="n">
        <f aca="false">INDEX(Inputs!$C$68:$E$68,Adoption!E7)</f>
        <v>6265.3</v>
      </c>
      <c r="H7" s="15" t="n">
        <v>0</v>
      </c>
      <c r="I7" s="15" t="n">
        <f aca="false">Adoption!J7*Inputs!$B$29</f>
        <v>12126</v>
      </c>
      <c r="J7" s="15" t="n">
        <f aca="false">INDEX(Inputs!$C$69:$E$69,Adoption!E7)</f>
        <v>17198.2</v>
      </c>
      <c r="K7" s="15" t="n">
        <v>0</v>
      </c>
      <c r="L7" s="15" t="n">
        <f aca="false">Adoption!J7*Inputs!$B$39</f>
        <v>4331.23111111111</v>
      </c>
      <c r="M7" s="15" t="n">
        <f aca="false">INDEX(Inputs!$C$70:$E$70,Adoption!E7)</f>
        <v>15522.2</v>
      </c>
    </row>
    <row r="8" customFormat="false" ht="15" hidden="false" customHeight="false" outlineLevel="0" collapsed="false">
      <c r="A8" s="21" t="n">
        <v>4</v>
      </c>
      <c r="B8" s="24" t="n">
        <f aca="false">Inputs!$B$19*Inputs!$B$5 + CEILING(Adoption!F8*Inputs!$B$20/Inputs!$B$21,1)*Inputs!$B$22</f>
        <v>7998</v>
      </c>
      <c r="C8" s="24" t="n">
        <v>0</v>
      </c>
      <c r="D8" s="24" t="n">
        <f aca="false">INDEX(Inputs!$C$67:$E$67,Adoption!E8)</f>
        <v>2733.3</v>
      </c>
      <c r="E8" s="24" t="n">
        <f aca="false">Adoption!G8/1000000*Inputs!$B$25 + Adoption!H8/1000000*Inputs!$B$26</f>
        <v>130.8736</v>
      </c>
      <c r="F8" s="24" t="n">
        <v>0</v>
      </c>
      <c r="G8" s="24" t="n">
        <f aca="false">INDEX(Inputs!$C$68:$E$68,Adoption!E8)</f>
        <v>6265.3</v>
      </c>
      <c r="H8" s="24" t="n">
        <v>0</v>
      </c>
      <c r="I8" s="24" t="n">
        <f aca="false">Adoption!J8*Inputs!$B$29</f>
        <v>12126</v>
      </c>
      <c r="J8" s="24" t="n">
        <f aca="false">INDEX(Inputs!$C$69:$E$69,Adoption!E8)</f>
        <v>17198.2</v>
      </c>
      <c r="K8" s="24" t="n">
        <v>0</v>
      </c>
      <c r="L8" s="24" t="n">
        <f aca="false">Adoption!J8*Inputs!$B$39</f>
        <v>4331.23111111111</v>
      </c>
      <c r="M8" s="24" t="n">
        <f aca="false">INDEX(Inputs!$C$70:$E$70,Adoption!E8)</f>
        <v>15522.2</v>
      </c>
    </row>
    <row r="9" customFormat="false" ht="15" hidden="false" customHeight="false" outlineLevel="0" collapsed="false">
      <c r="A9" s="18" t="n">
        <v>5</v>
      </c>
      <c r="B9" s="15" t="n">
        <f aca="false">Inputs!$B$19*Inputs!$B$5 + CEILING(Adoption!F9*Inputs!$B$20/Inputs!$B$21,1)*Inputs!$B$22</f>
        <v>8164</v>
      </c>
      <c r="C9" s="15" t="n">
        <v>0</v>
      </c>
      <c r="D9" s="15" t="n">
        <f aca="false">INDEX(Inputs!$C$67:$E$67,Adoption!E9)</f>
        <v>2733.3</v>
      </c>
      <c r="E9" s="15" t="n">
        <f aca="false">Adoption!G9/1000000*Inputs!$B$25 + Adoption!H9/1000000*Inputs!$B$26</f>
        <v>181.2096</v>
      </c>
      <c r="F9" s="15" t="n">
        <v>0</v>
      </c>
      <c r="G9" s="15" t="n">
        <f aca="false">INDEX(Inputs!$C$68:$E$68,Adoption!E9)</f>
        <v>6265.3</v>
      </c>
      <c r="H9" s="15" t="n">
        <v>0</v>
      </c>
      <c r="I9" s="15" t="n">
        <f aca="false">Adoption!J9*Inputs!$B$29</f>
        <v>12126</v>
      </c>
      <c r="J9" s="15" t="n">
        <f aca="false">INDEX(Inputs!$C$69:$E$69,Adoption!E9)</f>
        <v>17198.2</v>
      </c>
      <c r="K9" s="15" t="n">
        <v>0</v>
      </c>
      <c r="L9" s="15" t="n">
        <f aca="false">Adoption!J9*Inputs!$B$39</f>
        <v>4331.23111111111</v>
      </c>
      <c r="M9" s="15" t="n">
        <f aca="false">INDEX(Inputs!$C$70:$E$70,Adoption!E9)</f>
        <v>15522.2</v>
      </c>
    </row>
    <row r="10" customFormat="false" ht="15" hidden="false" customHeight="false" outlineLevel="0" collapsed="false">
      <c r="A10" s="21" t="n">
        <v>6</v>
      </c>
      <c r="B10" s="24" t="n">
        <f aca="false">Inputs!$B$19*Inputs!$B$5 + CEILING(Adoption!F10*Inputs!$B$20/Inputs!$B$21,1)*Inputs!$B$22</f>
        <v>8330</v>
      </c>
      <c r="C10" s="24" t="n">
        <v>0</v>
      </c>
      <c r="D10" s="24" t="n">
        <f aca="false">INDEX(Inputs!$C$67:$E$67,Adoption!E10)</f>
        <v>2733.3</v>
      </c>
      <c r="E10" s="24" t="n">
        <f aca="false">Adoption!G10/1000000*Inputs!$B$25 + Adoption!H10/1000000*Inputs!$B$26</f>
        <v>231.5456</v>
      </c>
      <c r="F10" s="24" t="n">
        <v>0</v>
      </c>
      <c r="G10" s="24" t="n">
        <f aca="false">INDEX(Inputs!$C$68:$E$68,Adoption!E10)</f>
        <v>6265.3</v>
      </c>
      <c r="H10" s="24" t="n">
        <v>0</v>
      </c>
      <c r="I10" s="24" t="n">
        <f aca="false">Adoption!J10*Inputs!$B$29</f>
        <v>12126</v>
      </c>
      <c r="J10" s="24" t="n">
        <f aca="false">INDEX(Inputs!$C$69:$E$69,Adoption!E10)</f>
        <v>17198.2</v>
      </c>
      <c r="K10" s="24" t="n">
        <v>0</v>
      </c>
      <c r="L10" s="24" t="n">
        <f aca="false">Adoption!J10*Inputs!$B$39</f>
        <v>4331.23111111111</v>
      </c>
      <c r="M10" s="24" t="n">
        <f aca="false">INDEX(Inputs!$C$70:$E$70,Adoption!E10)</f>
        <v>15522.2</v>
      </c>
    </row>
    <row r="11" customFormat="false" ht="15" hidden="false" customHeight="false" outlineLevel="0" collapsed="false">
      <c r="A11" s="18" t="n">
        <v>7</v>
      </c>
      <c r="B11" s="15" t="n">
        <f aca="false">Inputs!$B$19*Inputs!$B$5 + CEILING(Adoption!F11*Inputs!$B$20/Inputs!$B$21,1)*Inputs!$B$22</f>
        <v>8330</v>
      </c>
      <c r="C11" s="15" t="n">
        <v>0</v>
      </c>
      <c r="D11" s="15" t="n">
        <f aca="false">INDEX(Inputs!$C$67:$E$67,Adoption!E11)</f>
        <v>2733.3</v>
      </c>
      <c r="E11" s="15" t="n">
        <f aca="false">Adoption!G11/1000000*Inputs!$B$25 + Adoption!H11/1000000*Inputs!$B$26</f>
        <v>281.8816</v>
      </c>
      <c r="F11" s="15" t="n">
        <v>0</v>
      </c>
      <c r="G11" s="15" t="n">
        <f aca="false">INDEX(Inputs!$C$68:$E$68,Adoption!E11)</f>
        <v>6265.3</v>
      </c>
      <c r="H11" s="15" t="n">
        <v>0</v>
      </c>
      <c r="I11" s="15" t="n">
        <f aca="false">Adoption!J11*Inputs!$B$29</f>
        <v>12126</v>
      </c>
      <c r="J11" s="15" t="n">
        <f aca="false">INDEX(Inputs!$C$69:$E$69,Adoption!E11)</f>
        <v>17198.2</v>
      </c>
      <c r="K11" s="15" t="n">
        <v>0</v>
      </c>
      <c r="L11" s="15" t="n">
        <f aca="false">Adoption!J11*Inputs!$B$39</f>
        <v>4331.23111111111</v>
      </c>
      <c r="M11" s="15" t="n">
        <f aca="false">INDEX(Inputs!$C$70:$E$70,Adoption!E11)</f>
        <v>15522.2</v>
      </c>
    </row>
    <row r="12" customFormat="false" ht="15" hidden="false" customHeight="false" outlineLevel="0" collapsed="false">
      <c r="A12" s="21" t="n">
        <v>8</v>
      </c>
      <c r="B12" s="24" t="n">
        <f aca="false">Inputs!$B$19*Inputs!$B$5 + CEILING(Adoption!F12*Inputs!$B$20/Inputs!$B$21,1)*Inputs!$B$22</f>
        <v>8662</v>
      </c>
      <c r="C12" s="24" t="n">
        <v>0</v>
      </c>
      <c r="D12" s="24" t="n">
        <f aca="false">INDEX(Inputs!$C$67:$E$67,Adoption!E12)</f>
        <v>2733.3</v>
      </c>
      <c r="E12" s="24" t="n">
        <f aca="false">Adoption!G12/1000000*Inputs!$B$25 + Adoption!H12/1000000*Inputs!$B$26</f>
        <v>352.352</v>
      </c>
      <c r="F12" s="24" t="n">
        <v>0</v>
      </c>
      <c r="G12" s="24" t="n">
        <f aca="false">INDEX(Inputs!$C$68:$E$68,Adoption!E12)</f>
        <v>6265.3</v>
      </c>
      <c r="H12" s="24" t="n">
        <v>0</v>
      </c>
      <c r="I12" s="24" t="n">
        <f aca="false">Adoption!J12*Inputs!$B$29</f>
        <v>12126</v>
      </c>
      <c r="J12" s="24" t="n">
        <f aca="false">INDEX(Inputs!$C$69:$E$69,Adoption!E12)</f>
        <v>17198.2</v>
      </c>
      <c r="K12" s="24" t="n">
        <v>0</v>
      </c>
      <c r="L12" s="24" t="n">
        <f aca="false">Adoption!J12*Inputs!$B$39</f>
        <v>4331.23111111111</v>
      </c>
      <c r="M12" s="24" t="n">
        <f aca="false">INDEX(Inputs!$C$70:$E$70,Adoption!E12)</f>
        <v>15522.2</v>
      </c>
    </row>
    <row r="13" customFormat="false" ht="15" hidden="false" customHeight="false" outlineLevel="0" collapsed="false">
      <c r="A13" s="18" t="n">
        <v>9</v>
      </c>
      <c r="B13" s="15" t="n">
        <f aca="false">Inputs!$B$19*Inputs!$B$5 + CEILING(Adoption!F13*Inputs!$B$20/Inputs!$B$21,1)*Inputs!$B$22</f>
        <v>8828</v>
      </c>
      <c r="C13" s="15" t="n">
        <v>0</v>
      </c>
      <c r="D13" s="15" t="n">
        <f aca="false">INDEX(Inputs!$C$67:$E$67,Adoption!E13)</f>
        <v>2733.3</v>
      </c>
      <c r="E13" s="15" t="n">
        <f aca="false">Adoption!G13/1000000*Inputs!$B$25 + Adoption!H13/1000000*Inputs!$B$26</f>
        <v>422.8224</v>
      </c>
      <c r="F13" s="15" t="n">
        <v>0</v>
      </c>
      <c r="G13" s="15" t="n">
        <f aca="false">INDEX(Inputs!$C$68:$E$68,Adoption!E13)</f>
        <v>6265.3</v>
      </c>
      <c r="H13" s="15" t="n">
        <v>0</v>
      </c>
      <c r="I13" s="15" t="n">
        <f aca="false">Adoption!J13*Inputs!$B$29</f>
        <v>12126</v>
      </c>
      <c r="J13" s="15" t="n">
        <f aca="false">INDEX(Inputs!$C$69:$E$69,Adoption!E13)</f>
        <v>17198.2</v>
      </c>
      <c r="K13" s="15" t="n">
        <v>0</v>
      </c>
      <c r="L13" s="15" t="n">
        <f aca="false">Adoption!J13*Inputs!$B$39</f>
        <v>4331.23111111111</v>
      </c>
      <c r="M13" s="15" t="n">
        <f aca="false">INDEX(Inputs!$C$70:$E$70,Adoption!E13)</f>
        <v>15522.2</v>
      </c>
    </row>
    <row r="14" customFormat="false" ht="15" hidden="false" customHeight="false" outlineLevel="0" collapsed="false">
      <c r="A14" s="21" t="n">
        <v>10</v>
      </c>
      <c r="B14" s="24" t="n">
        <f aca="false">Inputs!$B$19*Inputs!$B$5 + CEILING(Adoption!F14*Inputs!$B$20/Inputs!$B$21,1)*Inputs!$B$22</f>
        <v>8994</v>
      </c>
      <c r="C14" s="24" t="n">
        <v>0</v>
      </c>
      <c r="D14" s="24" t="n">
        <f aca="false">INDEX(Inputs!$C$67:$E$67,Adoption!E14)</f>
        <v>2733.3</v>
      </c>
      <c r="E14" s="24" t="n">
        <f aca="false">Adoption!G14/1000000*Inputs!$B$25 + Adoption!H14/1000000*Inputs!$B$26</f>
        <v>493.2928</v>
      </c>
      <c r="F14" s="24" t="n">
        <v>0</v>
      </c>
      <c r="G14" s="24" t="n">
        <f aca="false">INDEX(Inputs!$C$68:$E$68,Adoption!E14)</f>
        <v>11288.7</v>
      </c>
      <c r="H14" s="24" t="n">
        <v>0</v>
      </c>
      <c r="I14" s="24" t="n">
        <f aca="false">Adoption!J14*Inputs!$B$29</f>
        <v>12126</v>
      </c>
      <c r="J14" s="24" t="n">
        <f aca="false">INDEX(Inputs!$C$69:$E$69,Adoption!E14)</f>
        <v>27173.8</v>
      </c>
      <c r="K14" s="24" t="n">
        <v>0</v>
      </c>
      <c r="L14" s="24" t="n">
        <f aca="false">Adoption!J14*Inputs!$B$39</f>
        <v>4331.23111111111</v>
      </c>
      <c r="M14" s="24" t="n">
        <f aca="false">INDEX(Inputs!$C$70:$E$70,Adoption!E14)</f>
        <v>26450.3</v>
      </c>
    </row>
    <row r="15" customFormat="false" ht="15" hidden="false" customHeight="false" outlineLevel="0" collapsed="false">
      <c r="A15" s="18" t="n">
        <v>11</v>
      </c>
      <c r="B15" s="15" t="n">
        <f aca="false">Inputs!$B$19*Inputs!$B$5 + CEILING(Adoption!F15*Inputs!$B$20/Inputs!$B$21,1)*Inputs!$B$22</f>
        <v>9326</v>
      </c>
      <c r="C15" s="15" t="n">
        <v>0</v>
      </c>
      <c r="D15" s="15" t="n">
        <f aca="false">INDEX(Inputs!$C$67:$E$67,Adoption!E15)</f>
        <v>2733.3</v>
      </c>
      <c r="E15" s="15" t="n">
        <f aca="false">Adoption!G15/1000000*Inputs!$B$25 + Adoption!H15/1000000*Inputs!$B$26</f>
        <v>573.8304</v>
      </c>
      <c r="F15" s="15" t="n">
        <v>0</v>
      </c>
      <c r="G15" s="15" t="n">
        <f aca="false">INDEX(Inputs!$C$68:$E$68,Adoption!E15)</f>
        <v>11288.7</v>
      </c>
      <c r="H15" s="15" t="n">
        <v>0</v>
      </c>
      <c r="I15" s="15" t="n">
        <f aca="false">Adoption!J15*Inputs!$B$29</f>
        <v>12126</v>
      </c>
      <c r="J15" s="15" t="n">
        <f aca="false">INDEX(Inputs!$C$69:$E$69,Adoption!E15)</f>
        <v>27173.8</v>
      </c>
      <c r="K15" s="15" t="n">
        <v>0</v>
      </c>
      <c r="L15" s="15" t="n">
        <f aca="false">Adoption!J15*Inputs!$B$39</f>
        <v>4331.23111111111</v>
      </c>
      <c r="M15" s="15" t="n">
        <f aca="false">INDEX(Inputs!$C$70:$E$70,Adoption!E15)</f>
        <v>26450.3</v>
      </c>
    </row>
    <row r="16" customFormat="false" ht="15" hidden="false" customHeight="false" outlineLevel="0" collapsed="false">
      <c r="A16" s="21" t="n">
        <v>12</v>
      </c>
      <c r="B16" s="24" t="n">
        <f aca="false">Inputs!$B$19*Inputs!$B$5 + CEILING(Adoption!F16*Inputs!$B$20/Inputs!$B$21,1)*Inputs!$B$22</f>
        <v>9492</v>
      </c>
      <c r="C16" s="24" t="n">
        <v>0</v>
      </c>
      <c r="D16" s="24" t="n">
        <f aca="false">INDEX(Inputs!$C$67:$E$67,Adoption!E16)</f>
        <v>2733.3</v>
      </c>
      <c r="E16" s="24" t="n">
        <f aca="false">Adoption!G16/1000000*Inputs!$B$25 + Adoption!H16/1000000*Inputs!$B$26</f>
        <v>654.368</v>
      </c>
      <c r="F16" s="24" t="n">
        <v>0</v>
      </c>
      <c r="G16" s="24" t="n">
        <f aca="false">INDEX(Inputs!$C$68:$E$68,Adoption!E16)</f>
        <v>11288.7</v>
      </c>
      <c r="H16" s="24" t="n">
        <v>0</v>
      </c>
      <c r="I16" s="24" t="n">
        <f aca="false">Adoption!J16*Inputs!$B$29</f>
        <v>12126</v>
      </c>
      <c r="J16" s="24" t="n">
        <f aca="false">INDEX(Inputs!$C$69:$E$69,Adoption!E16)</f>
        <v>27173.8</v>
      </c>
      <c r="K16" s="24" t="n">
        <v>0</v>
      </c>
      <c r="L16" s="24" t="n">
        <f aca="false">Adoption!J16*Inputs!$B$39</f>
        <v>4331.23111111111</v>
      </c>
      <c r="M16" s="24" t="n">
        <f aca="false">INDEX(Inputs!$C$70:$E$70,Adoption!E16)</f>
        <v>26450.3</v>
      </c>
    </row>
    <row r="17" customFormat="false" ht="15" hidden="false" customHeight="false" outlineLevel="0" collapsed="false">
      <c r="A17" s="18" t="n">
        <v>13</v>
      </c>
      <c r="B17" s="15" t="n">
        <f aca="false">Inputs!$B$19*Inputs!$B$5 + CEILING(Adoption!F17*Inputs!$B$20/Inputs!$B$21,1)*Inputs!$B$22</f>
        <v>9824</v>
      </c>
      <c r="C17" s="15" t="n">
        <v>0</v>
      </c>
      <c r="D17" s="15" t="n">
        <f aca="false">INDEX(Inputs!$C$67:$E$67,Adoption!E17)</f>
        <v>2733.3</v>
      </c>
      <c r="E17" s="15" t="n">
        <f aca="false">Adoption!G17/1000000*Inputs!$B$25 + Adoption!H17/1000000*Inputs!$B$26</f>
        <v>755.04</v>
      </c>
      <c r="F17" s="15" t="n">
        <v>0</v>
      </c>
      <c r="G17" s="15" t="n">
        <f aca="false">INDEX(Inputs!$C$68:$E$68,Adoption!E17)</f>
        <v>11288.7</v>
      </c>
      <c r="H17" s="15" t="n">
        <v>0</v>
      </c>
      <c r="I17" s="15" t="n">
        <f aca="false">Adoption!J17*Inputs!$B$29</f>
        <v>12126</v>
      </c>
      <c r="J17" s="15" t="n">
        <f aca="false">INDEX(Inputs!$C$69:$E$69,Adoption!E17)</f>
        <v>27173.8</v>
      </c>
      <c r="K17" s="15" t="n">
        <v>0</v>
      </c>
      <c r="L17" s="15" t="n">
        <f aca="false">Adoption!J17*Inputs!$B$39</f>
        <v>4331.23111111111</v>
      </c>
      <c r="M17" s="15" t="n">
        <f aca="false">INDEX(Inputs!$C$70:$E$70,Adoption!E17)</f>
        <v>26450.3</v>
      </c>
    </row>
    <row r="18" customFormat="false" ht="15" hidden="false" customHeight="false" outlineLevel="0" collapsed="false">
      <c r="A18" s="21" t="n">
        <v>14</v>
      </c>
      <c r="B18" s="24" t="n">
        <f aca="false">Inputs!$B$19*Inputs!$B$5 + CEILING(Adoption!F18*Inputs!$B$20/Inputs!$B$21,1)*Inputs!$B$22</f>
        <v>9990</v>
      </c>
      <c r="C18" s="24" t="n">
        <v>0</v>
      </c>
      <c r="D18" s="24" t="n">
        <f aca="false">INDEX(Inputs!$C$67:$E$67,Adoption!E18)</f>
        <v>2733.3</v>
      </c>
      <c r="E18" s="24" t="n">
        <f aca="false">Adoption!G18/1000000*Inputs!$B$25 + Adoption!H18/1000000*Inputs!$B$26</f>
        <v>845.6448</v>
      </c>
      <c r="F18" s="24" t="n">
        <v>0</v>
      </c>
      <c r="G18" s="24" t="n">
        <f aca="false">INDEX(Inputs!$C$68:$E$68,Adoption!E18)</f>
        <v>11288.7</v>
      </c>
      <c r="H18" s="24" t="n">
        <v>0</v>
      </c>
      <c r="I18" s="24" t="n">
        <f aca="false">Adoption!J18*Inputs!$B$29</f>
        <v>12126</v>
      </c>
      <c r="J18" s="24" t="n">
        <f aca="false">INDEX(Inputs!$C$69:$E$69,Adoption!E18)</f>
        <v>27173.8</v>
      </c>
      <c r="K18" s="24" t="n">
        <v>0</v>
      </c>
      <c r="L18" s="24" t="n">
        <f aca="false">Adoption!J18*Inputs!$B$39</f>
        <v>4331.23111111111</v>
      </c>
      <c r="M18" s="24" t="n">
        <f aca="false">INDEX(Inputs!$C$70:$E$70,Adoption!E18)</f>
        <v>26450.3</v>
      </c>
    </row>
    <row r="19" customFormat="false" ht="15" hidden="false" customHeight="false" outlineLevel="0" collapsed="false">
      <c r="A19" s="18" t="n">
        <v>15</v>
      </c>
      <c r="B19" s="15" t="n">
        <f aca="false">Inputs!$B$19*Inputs!$B$5 + CEILING(Adoption!F19*Inputs!$B$20/Inputs!$B$21,1)*Inputs!$B$22</f>
        <v>10322</v>
      </c>
      <c r="C19" s="15" t="n">
        <v>0</v>
      </c>
      <c r="D19" s="15" t="n">
        <f aca="false">INDEX(Inputs!$C$67:$E$67,Adoption!E19)</f>
        <v>2733.3</v>
      </c>
      <c r="E19" s="15" t="n">
        <f aca="false">Adoption!G19/1000000*Inputs!$B$25 + Adoption!H19/1000000*Inputs!$B$26</f>
        <v>946.3168</v>
      </c>
      <c r="F19" s="15" t="n">
        <v>0</v>
      </c>
      <c r="G19" s="15" t="n">
        <f aca="false">INDEX(Inputs!$C$68:$E$68,Adoption!E19)</f>
        <v>11288.7</v>
      </c>
      <c r="H19" s="15" t="n">
        <v>0</v>
      </c>
      <c r="I19" s="15" t="n">
        <f aca="false">Adoption!J19*Inputs!$B$29</f>
        <v>12126</v>
      </c>
      <c r="J19" s="15" t="n">
        <f aca="false">INDEX(Inputs!$C$69:$E$69,Adoption!E19)</f>
        <v>27173.8</v>
      </c>
      <c r="K19" s="15" t="n">
        <v>0</v>
      </c>
      <c r="L19" s="15" t="n">
        <f aca="false">Adoption!J19*Inputs!$B$39</f>
        <v>4331.23111111111</v>
      </c>
      <c r="M19" s="15" t="n">
        <f aca="false">INDEX(Inputs!$C$70:$E$70,Adoption!E19)</f>
        <v>26450.3</v>
      </c>
    </row>
    <row r="20" customFormat="false" ht="15" hidden="false" customHeight="false" outlineLevel="0" collapsed="false">
      <c r="A20" s="21" t="n">
        <v>16</v>
      </c>
      <c r="B20" s="24" t="n">
        <f aca="false">Inputs!$B$19*Inputs!$B$5 + CEILING(Adoption!F20*Inputs!$B$20/Inputs!$B$21,1)*Inputs!$B$22</f>
        <v>10654</v>
      </c>
      <c r="C20" s="24" t="n">
        <v>0</v>
      </c>
      <c r="D20" s="24" t="n">
        <f aca="false">INDEX(Inputs!$C$67:$E$67,Adoption!E20)</f>
        <v>2733.3</v>
      </c>
      <c r="E20" s="24" t="n">
        <f aca="false">Adoption!G20/1000000*Inputs!$B$25 + Adoption!H20/1000000*Inputs!$B$26</f>
        <v>1057.056</v>
      </c>
      <c r="F20" s="24" t="n">
        <v>0</v>
      </c>
      <c r="G20" s="24" t="n">
        <f aca="false">INDEX(Inputs!$C$68:$E$68,Adoption!E20)</f>
        <v>11288.7</v>
      </c>
      <c r="H20" s="24" t="n">
        <v>0</v>
      </c>
      <c r="I20" s="24" t="n">
        <f aca="false">Adoption!J20*Inputs!$B$29</f>
        <v>12126</v>
      </c>
      <c r="J20" s="24" t="n">
        <f aca="false">INDEX(Inputs!$C$69:$E$69,Adoption!E20)</f>
        <v>27173.8</v>
      </c>
      <c r="K20" s="24" t="n">
        <v>0</v>
      </c>
      <c r="L20" s="24" t="n">
        <f aca="false">Adoption!J20*Inputs!$B$39</f>
        <v>4331.23111111111</v>
      </c>
      <c r="M20" s="24" t="n">
        <f aca="false">INDEX(Inputs!$C$70:$E$70,Adoption!E20)</f>
        <v>26450.3</v>
      </c>
    </row>
    <row r="21" customFormat="false" ht="15" hidden="false" customHeight="false" outlineLevel="0" collapsed="false">
      <c r="A21" s="18" t="n">
        <v>17</v>
      </c>
      <c r="B21" s="15" t="n">
        <f aca="false">Inputs!$B$19*Inputs!$B$5 + CEILING(Adoption!F21*Inputs!$B$20/Inputs!$B$21,1)*Inputs!$B$22</f>
        <v>10986</v>
      </c>
      <c r="C21" s="15" t="n">
        <v>0</v>
      </c>
      <c r="D21" s="15" t="n">
        <f aca="false">INDEX(Inputs!$C$67:$E$67,Adoption!E21)</f>
        <v>2733.3</v>
      </c>
      <c r="E21" s="15" t="n">
        <f aca="false">Adoption!G21/1000000*Inputs!$B$25 + Adoption!H21/1000000*Inputs!$B$26</f>
        <v>1157.728</v>
      </c>
      <c r="F21" s="15" t="n">
        <v>0</v>
      </c>
      <c r="G21" s="15" t="n">
        <f aca="false">INDEX(Inputs!$C$68:$E$68,Adoption!E21)</f>
        <v>11288.7</v>
      </c>
      <c r="H21" s="15" t="n">
        <v>0</v>
      </c>
      <c r="I21" s="15" t="n">
        <f aca="false">Adoption!J21*Inputs!$B$29</f>
        <v>12126</v>
      </c>
      <c r="J21" s="15" t="n">
        <f aca="false">INDEX(Inputs!$C$69:$E$69,Adoption!E21)</f>
        <v>27173.8</v>
      </c>
      <c r="K21" s="15" t="n">
        <v>0</v>
      </c>
      <c r="L21" s="15" t="n">
        <f aca="false">Adoption!J21*Inputs!$B$39</f>
        <v>4331.23111111111</v>
      </c>
      <c r="M21" s="15" t="n">
        <f aca="false">INDEX(Inputs!$C$70:$E$70,Adoption!E21)</f>
        <v>26450.3</v>
      </c>
    </row>
    <row r="22" customFormat="false" ht="15" hidden="false" customHeight="false" outlineLevel="0" collapsed="false">
      <c r="A22" s="21" t="n">
        <v>18</v>
      </c>
      <c r="B22" s="24" t="n">
        <f aca="false">Inputs!$B$19*Inputs!$B$5 + CEILING(Adoption!F22*Inputs!$B$20/Inputs!$B$21,1)*Inputs!$B$22</f>
        <v>11318</v>
      </c>
      <c r="C22" s="24" t="n">
        <v>0</v>
      </c>
      <c r="D22" s="24" t="n">
        <f aca="false">INDEX(Inputs!$C$67:$E$67,Adoption!E22)</f>
        <v>2733.3</v>
      </c>
      <c r="E22" s="24" t="n">
        <f aca="false">Adoption!G22/1000000*Inputs!$B$25 + Adoption!H22/1000000*Inputs!$B$26</f>
        <v>1268.4672</v>
      </c>
      <c r="F22" s="24" t="n">
        <v>0</v>
      </c>
      <c r="G22" s="24" t="n">
        <f aca="false">INDEX(Inputs!$C$68:$E$68,Adoption!E22)</f>
        <v>11288.7</v>
      </c>
      <c r="H22" s="24" t="n">
        <v>0</v>
      </c>
      <c r="I22" s="24" t="n">
        <f aca="false">Adoption!J22*Inputs!$B$29</f>
        <v>12126</v>
      </c>
      <c r="J22" s="24" t="n">
        <f aca="false">INDEX(Inputs!$C$69:$E$69,Adoption!E22)</f>
        <v>27173.8</v>
      </c>
      <c r="K22" s="24" t="n">
        <v>0</v>
      </c>
      <c r="L22" s="24" t="n">
        <f aca="false">Adoption!J22*Inputs!$B$39</f>
        <v>4331.23111111111</v>
      </c>
      <c r="M22" s="24" t="n">
        <f aca="false">INDEX(Inputs!$C$70:$E$70,Adoption!E22)</f>
        <v>26450.3</v>
      </c>
    </row>
    <row r="23" customFormat="false" ht="15" hidden="false" customHeight="false" outlineLevel="0" collapsed="false">
      <c r="A23" s="18" t="n">
        <v>19</v>
      </c>
      <c r="B23" s="15" t="n">
        <f aca="false">Inputs!$B$19*Inputs!$B$5 + CEILING(Adoption!F23*Inputs!$B$20/Inputs!$B$21,1)*Inputs!$B$22</f>
        <v>11650</v>
      </c>
      <c r="C23" s="15" t="n">
        <v>0</v>
      </c>
      <c r="D23" s="15" t="n">
        <f aca="false">INDEX(Inputs!$C$67:$E$67,Adoption!E23)</f>
        <v>2733.3</v>
      </c>
      <c r="E23" s="15" t="n">
        <f aca="false">Adoption!G23/1000000*Inputs!$B$25 + Adoption!H23/1000000*Inputs!$B$26</f>
        <v>1379.2064</v>
      </c>
      <c r="F23" s="15" t="n">
        <v>0</v>
      </c>
      <c r="G23" s="15" t="n">
        <f aca="false">INDEX(Inputs!$C$68:$E$68,Adoption!E23)</f>
        <v>11288.7</v>
      </c>
      <c r="H23" s="15" t="n">
        <v>0</v>
      </c>
      <c r="I23" s="15" t="n">
        <f aca="false">Adoption!J23*Inputs!$B$29</f>
        <v>12126</v>
      </c>
      <c r="J23" s="15" t="n">
        <f aca="false">INDEX(Inputs!$C$69:$E$69,Adoption!E23)</f>
        <v>27173.8</v>
      </c>
      <c r="K23" s="15" t="n">
        <v>0</v>
      </c>
      <c r="L23" s="15" t="n">
        <f aca="false">Adoption!J23*Inputs!$B$39</f>
        <v>4331.23111111111</v>
      </c>
      <c r="M23" s="15" t="n">
        <f aca="false">INDEX(Inputs!$C$70:$E$70,Adoption!E23)</f>
        <v>26450.3</v>
      </c>
    </row>
    <row r="24" customFormat="false" ht="15" hidden="false" customHeight="false" outlineLevel="0" collapsed="false">
      <c r="A24" s="21" t="n">
        <v>20</v>
      </c>
      <c r="B24" s="24" t="n">
        <f aca="false">Inputs!$B$19*Inputs!$B$5 + CEILING(Adoption!F24*Inputs!$B$20/Inputs!$B$21,1)*Inputs!$B$22</f>
        <v>11982</v>
      </c>
      <c r="C24" s="24" t="n">
        <v>0</v>
      </c>
      <c r="D24" s="24" t="n">
        <f aca="false">INDEX(Inputs!$C$67:$E$67,Adoption!E24)</f>
        <v>2733.3</v>
      </c>
      <c r="E24" s="24" t="n">
        <f aca="false">Adoption!G24/1000000*Inputs!$B$25 + Adoption!H24/1000000*Inputs!$B$26</f>
        <v>1489.9456</v>
      </c>
      <c r="F24" s="24" t="n">
        <v>0</v>
      </c>
      <c r="G24" s="24" t="n">
        <f aca="false">INDEX(Inputs!$C$68:$E$68,Adoption!E24)</f>
        <v>11288.7</v>
      </c>
      <c r="H24" s="24" t="n">
        <v>0</v>
      </c>
      <c r="I24" s="24" t="n">
        <f aca="false">Adoption!J24*Inputs!$B$29</f>
        <v>12126</v>
      </c>
      <c r="J24" s="24" t="n">
        <f aca="false">INDEX(Inputs!$C$69:$E$69,Adoption!E24)</f>
        <v>27173.8</v>
      </c>
      <c r="K24" s="24" t="n">
        <v>0</v>
      </c>
      <c r="L24" s="24" t="n">
        <f aca="false">Adoption!J24*Inputs!$B$39</f>
        <v>4331.23111111111</v>
      </c>
      <c r="M24" s="24" t="n">
        <f aca="false">INDEX(Inputs!$C$70:$E$70,Adoption!E24)</f>
        <v>26450.3</v>
      </c>
    </row>
    <row r="25" customFormat="false" ht="15" hidden="false" customHeight="false" outlineLevel="0" collapsed="false">
      <c r="A25" s="18" t="n">
        <v>21</v>
      </c>
      <c r="B25" s="15" t="n">
        <f aca="false">Inputs!$B$19*Inputs!$B$5 + CEILING(Adoption!F25*Inputs!$B$20/Inputs!$B$21,1)*Inputs!$B$22</f>
        <v>12148</v>
      </c>
      <c r="C25" s="15" t="n">
        <v>0</v>
      </c>
      <c r="D25" s="15" t="n">
        <f aca="false">INDEX(Inputs!$C$67:$E$67,Adoption!E25)</f>
        <v>2733.3</v>
      </c>
      <c r="E25" s="15" t="n">
        <f aca="false">Adoption!G25/1000000*Inputs!$B$25 + Adoption!H25/1000000*Inputs!$B$26</f>
        <v>1600.6848</v>
      </c>
      <c r="F25" s="15" t="n">
        <v>0</v>
      </c>
      <c r="G25" s="15" t="n">
        <f aca="false">INDEX(Inputs!$C$68:$E$68,Adoption!E25)</f>
        <v>11288.7</v>
      </c>
      <c r="H25" s="15" t="n">
        <v>0</v>
      </c>
      <c r="I25" s="15" t="n">
        <f aca="false">Adoption!J25*Inputs!$B$29</f>
        <v>12126</v>
      </c>
      <c r="J25" s="15" t="n">
        <f aca="false">INDEX(Inputs!$C$69:$E$69,Adoption!E25)</f>
        <v>27173.8</v>
      </c>
      <c r="K25" s="15" t="n">
        <v>0</v>
      </c>
      <c r="L25" s="15" t="n">
        <f aca="false">Adoption!J25*Inputs!$B$39</f>
        <v>4331.23111111111</v>
      </c>
      <c r="M25" s="15" t="n">
        <f aca="false">INDEX(Inputs!$C$70:$E$70,Adoption!E25)</f>
        <v>26450.3</v>
      </c>
    </row>
    <row r="26" customFormat="false" ht="15" hidden="false" customHeight="false" outlineLevel="0" collapsed="false">
      <c r="A26" s="21" t="n">
        <v>22</v>
      </c>
      <c r="B26" s="24" t="n">
        <f aca="false">Inputs!$B$19*Inputs!$B$5 + CEILING(Adoption!F26*Inputs!$B$20/Inputs!$B$21,1)*Inputs!$B$22</f>
        <v>12480</v>
      </c>
      <c r="C26" s="24" t="n">
        <v>0</v>
      </c>
      <c r="D26" s="24" t="n">
        <f aca="false">INDEX(Inputs!$C$67:$E$67,Adoption!E26)</f>
        <v>2733.3</v>
      </c>
      <c r="E26" s="24" t="n">
        <f aca="false">Adoption!G26/1000000*Inputs!$B$25 + Adoption!H26/1000000*Inputs!$B$26</f>
        <v>1711.424</v>
      </c>
      <c r="F26" s="24" t="n">
        <v>0</v>
      </c>
      <c r="G26" s="24" t="n">
        <f aca="false">INDEX(Inputs!$C$68:$E$68,Adoption!E26)</f>
        <v>11288.7</v>
      </c>
      <c r="H26" s="24" t="n">
        <v>0</v>
      </c>
      <c r="I26" s="24" t="n">
        <f aca="false">Adoption!J26*Inputs!$B$29</f>
        <v>12126</v>
      </c>
      <c r="J26" s="24" t="n">
        <f aca="false">INDEX(Inputs!$C$69:$E$69,Adoption!E26)</f>
        <v>27173.8</v>
      </c>
      <c r="K26" s="24" t="n">
        <v>0</v>
      </c>
      <c r="L26" s="24" t="n">
        <f aca="false">Adoption!J26*Inputs!$B$39</f>
        <v>4331.23111111111</v>
      </c>
      <c r="M26" s="24" t="n">
        <f aca="false">INDEX(Inputs!$C$70:$E$70,Adoption!E26)</f>
        <v>26450.3</v>
      </c>
    </row>
    <row r="27" customFormat="false" ht="15" hidden="false" customHeight="false" outlineLevel="0" collapsed="false">
      <c r="A27" s="18" t="n">
        <v>23</v>
      </c>
      <c r="B27" s="15" t="n">
        <f aca="false">Inputs!$B$19*Inputs!$B$5 + CEILING(Adoption!F27*Inputs!$B$20/Inputs!$B$21,1)*Inputs!$B$22</f>
        <v>12812</v>
      </c>
      <c r="C27" s="15" t="n">
        <v>0</v>
      </c>
      <c r="D27" s="15" t="n">
        <f aca="false">INDEX(Inputs!$C$67:$E$67,Adoption!E27)</f>
        <v>2733.3</v>
      </c>
      <c r="E27" s="15" t="n">
        <f aca="false">Adoption!G27/1000000*Inputs!$B$25 + Adoption!H27/1000000*Inputs!$B$26</f>
        <v>1822.1632</v>
      </c>
      <c r="F27" s="15" t="n">
        <v>0</v>
      </c>
      <c r="G27" s="15" t="n">
        <f aca="false">INDEX(Inputs!$C$68:$E$68,Adoption!E27)</f>
        <v>11288.7</v>
      </c>
      <c r="H27" s="15" t="n">
        <v>0</v>
      </c>
      <c r="I27" s="15" t="n">
        <f aca="false">Adoption!J27*Inputs!$B$29</f>
        <v>12126</v>
      </c>
      <c r="J27" s="15" t="n">
        <f aca="false">INDEX(Inputs!$C$69:$E$69,Adoption!E27)</f>
        <v>27173.8</v>
      </c>
      <c r="K27" s="15" t="n">
        <v>0</v>
      </c>
      <c r="L27" s="15" t="n">
        <f aca="false">Adoption!J27*Inputs!$B$39</f>
        <v>4331.23111111111</v>
      </c>
      <c r="M27" s="15" t="n">
        <f aca="false">INDEX(Inputs!$C$70:$E$70,Adoption!E27)</f>
        <v>26450.3</v>
      </c>
    </row>
    <row r="28" customFormat="false" ht="15" hidden="false" customHeight="false" outlineLevel="0" collapsed="false">
      <c r="A28" s="21" t="n">
        <v>24</v>
      </c>
      <c r="B28" s="24" t="n">
        <f aca="false">Inputs!$B$19*Inputs!$B$5 + CEILING(Adoption!F28*Inputs!$B$20/Inputs!$B$21,1)*Inputs!$B$22</f>
        <v>13144</v>
      </c>
      <c r="C28" s="24" t="n">
        <v>0</v>
      </c>
      <c r="D28" s="24" t="n">
        <f aca="false">INDEX(Inputs!$C$67:$E$67,Adoption!E28)</f>
        <v>2733.3</v>
      </c>
      <c r="E28" s="24" t="n">
        <f aca="false">Adoption!G28/1000000*Inputs!$B$25 + Adoption!H28/1000000*Inputs!$B$26</f>
        <v>1922.8352</v>
      </c>
      <c r="F28" s="24" t="n">
        <v>0</v>
      </c>
      <c r="G28" s="24" t="n">
        <f aca="false">INDEX(Inputs!$C$68:$E$68,Adoption!E28)</f>
        <v>11288.7</v>
      </c>
      <c r="H28" s="24" t="n">
        <v>0</v>
      </c>
      <c r="I28" s="24" t="n">
        <f aca="false">Adoption!J28*Inputs!$B$29</f>
        <v>12126</v>
      </c>
      <c r="J28" s="24" t="n">
        <f aca="false">INDEX(Inputs!$C$69:$E$69,Adoption!E28)</f>
        <v>27173.8</v>
      </c>
      <c r="K28" s="24" t="n">
        <v>0</v>
      </c>
      <c r="L28" s="24" t="n">
        <f aca="false">Adoption!J28*Inputs!$B$39</f>
        <v>4331.23111111111</v>
      </c>
      <c r="M28" s="24" t="n">
        <f aca="false">INDEX(Inputs!$C$70:$E$70,Adoption!E28)</f>
        <v>26450.3</v>
      </c>
    </row>
    <row r="29" customFormat="false" ht="15" hidden="false" customHeight="false" outlineLevel="0" collapsed="false">
      <c r="A29" s="18" t="n">
        <v>25</v>
      </c>
      <c r="B29" s="15" t="n">
        <f aca="false">Inputs!$B$19*Inputs!$B$5 + CEILING(Adoption!F29*Inputs!$B$20/Inputs!$B$21,1)*Inputs!$B$22</f>
        <v>13476</v>
      </c>
      <c r="C29" s="15" t="n">
        <v>0</v>
      </c>
      <c r="D29" s="15" t="n">
        <f aca="false">INDEX(Inputs!$C$67:$E$67,Adoption!E29)</f>
        <v>2733.3</v>
      </c>
      <c r="E29" s="15" t="n">
        <f aca="false">Adoption!G29/1000000*Inputs!$B$25 + Adoption!H29/1000000*Inputs!$B$26</f>
        <v>2013.44</v>
      </c>
      <c r="F29" s="15" t="n">
        <v>0</v>
      </c>
      <c r="G29" s="15" t="n">
        <f aca="false">INDEX(Inputs!$C$68:$E$68,Adoption!E29)</f>
        <v>11288.7</v>
      </c>
      <c r="H29" s="15" t="n">
        <v>0</v>
      </c>
      <c r="I29" s="15" t="n">
        <f aca="false">Adoption!J29*Inputs!$B$29</f>
        <v>24252</v>
      </c>
      <c r="J29" s="15" t="n">
        <f aca="false">INDEX(Inputs!$C$69:$E$69,Adoption!E29)</f>
        <v>27173.8</v>
      </c>
      <c r="K29" s="15" t="n">
        <v>0</v>
      </c>
      <c r="L29" s="15" t="n">
        <f aca="false">Adoption!J29*Inputs!$B$39</f>
        <v>8662.46222222222</v>
      </c>
      <c r="M29" s="15" t="n">
        <f aca="false">INDEX(Inputs!$C$70:$E$70,Adoption!E29)</f>
        <v>26450.3</v>
      </c>
    </row>
    <row r="30" customFormat="false" ht="15" hidden="false" customHeight="false" outlineLevel="0" collapsed="false">
      <c r="A30" s="21" t="n">
        <v>26</v>
      </c>
      <c r="B30" s="24" t="n">
        <f aca="false">Inputs!$B$19*Inputs!$B$5 + CEILING(Adoption!F30*Inputs!$B$20/Inputs!$B$21,1)*Inputs!$B$22</f>
        <v>13642</v>
      </c>
      <c r="C30" s="24" t="n">
        <v>0</v>
      </c>
      <c r="D30" s="24" t="n">
        <f aca="false">INDEX(Inputs!$C$67:$E$67,Adoption!E30)</f>
        <v>2733.3</v>
      </c>
      <c r="E30" s="24" t="n">
        <f aca="false">Adoption!G30/1000000*Inputs!$B$25 + Adoption!H30/1000000*Inputs!$B$26</f>
        <v>2104.0448</v>
      </c>
      <c r="F30" s="24" t="n">
        <v>0</v>
      </c>
      <c r="G30" s="24" t="n">
        <f aca="false">INDEX(Inputs!$C$68:$E$68,Adoption!E30)</f>
        <v>11288.7</v>
      </c>
      <c r="H30" s="24" t="n">
        <v>0</v>
      </c>
      <c r="I30" s="24" t="n">
        <f aca="false">Adoption!J30*Inputs!$B$29</f>
        <v>24252</v>
      </c>
      <c r="J30" s="24" t="n">
        <f aca="false">INDEX(Inputs!$C$69:$E$69,Adoption!E30)</f>
        <v>27173.8</v>
      </c>
      <c r="K30" s="24" t="n">
        <v>0</v>
      </c>
      <c r="L30" s="24" t="n">
        <f aca="false">Adoption!J30*Inputs!$B$39</f>
        <v>8662.46222222222</v>
      </c>
      <c r="M30" s="24" t="n">
        <f aca="false">INDEX(Inputs!$C$70:$E$70,Adoption!E30)</f>
        <v>26450.3</v>
      </c>
    </row>
    <row r="31" customFormat="false" ht="15" hidden="false" customHeight="false" outlineLevel="0" collapsed="false">
      <c r="A31" s="18" t="n">
        <v>27</v>
      </c>
      <c r="B31" s="15" t="n">
        <f aca="false">Inputs!$B$19*Inputs!$B$5 + CEILING(Adoption!F31*Inputs!$B$20/Inputs!$B$21,1)*Inputs!$B$22</f>
        <v>13974</v>
      </c>
      <c r="C31" s="15" t="n">
        <v>0</v>
      </c>
      <c r="D31" s="15" t="n">
        <f aca="false">INDEX(Inputs!$C$67:$E$67,Adoption!E31)</f>
        <v>2733.3</v>
      </c>
      <c r="E31" s="15" t="n">
        <f aca="false">Adoption!G31/1000000*Inputs!$B$25 + Adoption!H31/1000000*Inputs!$B$26</f>
        <v>2194.6496</v>
      </c>
      <c r="F31" s="15" t="n">
        <v>0</v>
      </c>
      <c r="G31" s="15" t="n">
        <f aca="false">INDEX(Inputs!$C$68:$E$68,Adoption!E31)</f>
        <v>11288.7</v>
      </c>
      <c r="H31" s="15" t="n">
        <v>0</v>
      </c>
      <c r="I31" s="15" t="n">
        <f aca="false">Adoption!J31*Inputs!$B$29</f>
        <v>24252</v>
      </c>
      <c r="J31" s="15" t="n">
        <f aca="false">INDEX(Inputs!$C$69:$E$69,Adoption!E31)</f>
        <v>27173.8</v>
      </c>
      <c r="K31" s="15" t="n">
        <v>0</v>
      </c>
      <c r="L31" s="15" t="n">
        <f aca="false">Adoption!J31*Inputs!$B$39</f>
        <v>8662.46222222222</v>
      </c>
      <c r="M31" s="15" t="n">
        <f aca="false">INDEX(Inputs!$C$70:$E$70,Adoption!E31)</f>
        <v>26450.3</v>
      </c>
    </row>
    <row r="32" customFormat="false" ht="15" hidden="false" customHeight="false" outlineLevel="0" collapsed="false">
      <c r="A32" s="21" t="n">
        <v>28</v>
      </c>
      <c r="B32" s="24" t="n">
        <f aca="false">Inputs!$B$19*Inputs!$B$5 + CEILING(Adoption!F32*Inputs!$B$20/Inputs!$B$21,1)*Inputs!$B$22</f>
        <v>14140</v>
      </c>
      <c r="C32" s="24" t="n">
        <v>0</v>
      </c>
      <c r="D32" s="24" t="n">
        <f aca="false">INDEX(Inputs!$C$67:$E$67,Adoption!E32)</f>
        <v>2733.3</v>
      </c>
      <c r="E32" s="24" t="n">
        <f aca="false">Adoption!G32/1000000*Inputs!$B$25 + Adoption!H32/1000000*Inputs!$B$26</f>
        <v>2275.1872</v>
      </c>
      <c r="F32" s="24" t="n">
        <v>0</v>
      </c>
      <c r="G32" s="24" t="n">
        <f aca="false">INDEX(Inputs!$C$68:$E$68,Adoption!E32)</f>
        <v>11288.7</v>
      </c>
      <c r="H32" s="24" t="n">
        <v>0</v>
      </c>
      <c r="I32" s="24" t="n">
        <f aca="false">Adoption!J32*Inputs!$B$29</f>
        <v>24252</v>
      </c>
      <c r="J32" s="24" t="n">
        <f aca="false">INDEX(Inputs!$C$69:$E$69,Adoption!E32)</f>
        <v>27173.8</v>
      </c>
      <c r="K32" s="24" t="n">
        <v>0</v>
      </c>
      <c r="L32" s="24" t="n">
        <f aca="false">Adoption!J32*Inputs!$B$39</f>
        <v>8662.46222222222</v>
      </c>
      <c r="M32" s="24" t="n">
        <f aca="false">INDEX(Inputs!$C$70:$E$70,Adoption!E32)</f>
        <v>26450.3</v>
      </c>
    </row>
    <row r="33" customFormat="false" ht="15" hidden="false" customHeight="false" outlineLevel="0" collapsed="false">
      <c r="A33" s="18" t="n">
        <v>29</v>
      </c>
      <c r="B33" s="15" t="n">
        <f aca="false">Inputs!$B$19*Inputs!$B$5 + CEILING(Adoption!F33*Inputs!$B$20/Inputs!$B$21,1)*Inputs!$B$22</f>
        <v>14472</v>
      </c>
      <c r="C33" s="15" t="n">
        <v>0</v>
      </c>
      <c r="D33" s="15" t="n">
        <f aca="false">INDEX(Inputs!$C$67:$E$67,Adoption!E33)</f>
        <v>2733.3</v>
      </c>
      <c r="E33" s="15" t="n">
        <f aca="false">Adoption!G33/1000000*Inputs!$B$25 + Adoption!H33/1000000*Inputs!$B$26</f>
        <v>2355.7248</v>
      </c>
      <c r="F33" s="15" t="n">
        <v>0</v>
      </c>
      <c r="G33" s="15" t="n">
        <f aca="false">INDEX(Inputs!$C$68:$E$68,Adoption!E33)</f>
        <v>11288.7</v>
      </c>
      <c r="H33" s="15" t="n">
        <v>0</v>
      </c>
      <c r="I33" s="15" t="n">
        <f aca="false">Adoption!J33*Inputs!$B$29</f>
        <v>24252</v>
      </c>
      <c r="J33" s="15" t="n">
        <f aca="false">INDEX(Inputs!$C$69:$E$69,Adoption!E33)</f>
        <v>27173.8</v>
      </c>
      <c r="K33" s="15" t="n">
        <v>0</v>
      </c>
      <c r="L33" s="15" t="n">
        <f aca="false">Adoption!J33*Inputs!$B$39</f>
        <v>8662.46222222222</v>
      </c>
      <c r="M33" s="15" t="n">
        <f aca="false">INDEX(Inputs!$C$70:$E$70,Adoption!E33)</f>
        <v>26450.3</v>
      </c>
    </row>
    <row r="34" customFormat="false" ht="15" hidden="false" customHeight="false" outlineLevel="0" collapsed="false">
      <c r="A34" s="21" t="n">
        <v>30</v>
      </c>
      <c r="B34" s="24" t="n">
        <f aca="false">Inputs!$B$19*Inputs!$B$5 + CEILING(Adoption!F34*Inputs!$B$20/Inputs!$B$21,1)*Inputs!$B$22</f>
        <v>14638</v>
      </c>
      <c r="C34" s="24" t="n">
        <v>0</v>
      </c>
      <c r="D34" s="24" t="n">
        <f aca="false">INDEX(Inputs!$C$67:$E$67,Adoption!E34)</f>
        <v>2733.3</v>
      </c>
      <c r="E34" s="24" t="n">
        <f aca="false">Adoption!G34/1000000*Inputs!$B$25 + Adoption!H34/1000000*Inputs!$B$26</f>
        <v>2426.1952</v>
      </c>
      <c r="F34" s="24" t="n">
        <v>0</v>
      </c>
      <c r="G34" s="24" t="n">
        <f aca="false">INDEX(Inputs!$C$68:$E$68,Adoption!E34)</f>
        <v>11288.7</v>
      </c>
      <c r="H34" s="24" t="n">
        <v>0</v>
      </c>
      <c r="I34" s="24" t="n">
        <f aca="false">Adoption!J34*Inputs!$B$29</f>
        <v>24252</v>
      </c>
      <c r="J34" s="24" t="n">
        <f aca="false">INDEX(Inputs!$C$69:$E$69,Adoption!E34)</f>
        <v>27173.8</v>
      </c>
      <c r="K34" s="24" t="n">
        <v>0</v>
      </c>
      <c r="L34" s="24" t="n">
        <f aca="false">Adoption!J34*Inputs!$B$39</f>
        <v>8662.46222222222</v>
      </c>
      <c r="M34" s="24" t="n">
        <f aca="false">INDEX(Inputs!$C$70:$E$70,Adoption!E34)</f>
        <v>26450.3</v>
      </c>
    </row>
    <row r="35" customFormat="false" ht="15" hidden="false" customHeight="false" outlineLevel="0" collapsed="false">
      <c r="A35" s="18" t="n">
        <v>31</v>
      </c>
      <c r="B35" s="15" t="n">
        <f aca="false">Inputs!$B$19*Inputs!$B$5 + CEILING(Adoption!F35*Inputs!$B$20/Inputs!$B$21,1)*Inputs!$B$22</f>
        <v>14804</v>
      </c>
      <c r="C35" s="15" t="n">
        <v>0</v>
      </c>
      <c r="D35" s="15" t="n">
        <f aca="false">INDEX(Inputs!$C$67:$E$67,Adoption!E35)</f>
        <v>2733.3</v>
      </c>
      <c r="E35" s="15" t="n">
        <f aca="false">Adoption!G35/1000000*Inputs!$B$25 + Adoption!H35/1000000*Inputs!$B$26</f>
        <v>2486.5984</v>
      </c>
      <c r="F35" s="15" t="n">
        <v>0</v>
      </c>
      <c r="G35" s="15" t="n">
        <f aca="false">INDEX(Inputs!$C$68:$E$68,Adoption!E35)</f>
        <v>11288.7</v>
      </c>
      <c r="H35" s="15" t="n">
        <v>0</v>
      </c>
      <c r="I35" s="15" t="n">
        <f aca="false">Adoption!J35*Inputs!$B$29</f>
        <v>24252</v>
      </c>
      <c r="J35" s="15" t="n">
        <f aca="false">INDEX(Inputs!$C$69:$E$69,Adoption!E35)</f>
        <v>27173.8</v>
      </c>
      <c r="K35" s="15" t="n">
        <v>0</v>
      </c>
      <c r="L35" s="15" t="n">
        <f aca="false">Adoption!J35*Inputs!$B$39</f>
        <v>8662.46222222222</v>
      </c>
      <c r="M35" s="15" t="n">
        <f aca="false">INDEX(Inputs!$C$70:$E$70,Adoption!E35)</f>
        <v>26450.3</v>
      </c>
    </row>
    <row r="36" customFormat="false" ht="15" hidden="false" customHeight="false" outlineLevel="0" collapsed="false">
      <c r="A36" s="21" t="n">
        <v>32</v>
      </c>
      <c r="B36" s="24" t="n">
        <f aca="false">Inputs!$B$19*Inputs!$B$5 + CEILING(Adoption!F36*Inputs!$B$20/Inputs!$B$21,1)*Inputs!$B$22</f>
        <v>14970</v>
      </c>
      <c r="C36" s="24" t="n">
        <v>0</v>
      </c>
      <c r="D36" s="24" t="n">
        <f aca="false">INDEX(Inputs!$C$67:$E$67,Adoption!E36)</f>
        <v>2733.3</v>
      </c>
      <c r="E36" s="24" t="n">
        <f aca="false">Adoption!G36/1000000*Inputs!$B$25 + Adoption!H36/1000000*Inputs!$B$26</f>
        <v>2547.0016</v>
      </c>
      <c r="F36" s="24" t="n">
        <v>0</v>
      </c>
      <c r="G36" s="24" t="n">
        <f aca="false">INDEX(Inputs!$C$68:$E$68,Adoption!E36)</f>
        <v>12558.5</v>
      </c>
      <c r="H36" s="24" t="n">
        <v>0</v>
      </c>
      <c r="I36" s="24" t="n">
        <f aca="false">Adoption!J36*Inputs!$B$29</f>
        <v>24252</v>
      </c>
      <c r="J36" s="24" t="n">
        <f aca="false">INDEX(Inputs!$C$69:$E$69,Adoption!E36)</f>
        <v>36735.5</v>
      </c>
      <c r="K36" s="24" t="n">
        <v>0</v>
      </c>
      <c r="L36" s="24" t="n">
        <f aca="false">Adoption!J36*Inputs!$B$39</f>
        <v>8662.46222222222</v>
      </c>
      <c r="M36" s="24" t="n">
        <f aca="false">INDEX(Inputs!$C$70:$E$70,Adoption!E36)</f>
        <v>36012</v>
      </c>
    </row>
    <row r="37" customFormat="false" ht="15" hidden="false" customHeight="false" outlineLevel="0" collapsed="false">
      <c r="A37" s="18" t="n">
        <v>33</v>
      </c>
      <c r="B37" s="15" t="n">
        <f aca="false">Inputs!$B$19*Inputs!$B$5 + CEILING(Adoption!F37*Inputs!$B$20/Inputs!$B$21,1)*Inputs!$B$22</f>
        <v>15136</v>
      </c>
      <c r="C37" s="15" t="n">
        <v>0</v>
      </c>
      <c r="D37" s="15" t="n">
        <f aca="false">INDEX(Inputs!$C$67:$E$67,Adoption!E37)</f>
        <v>2733.3</v>
      </c>
      <c r="E37" s="15" t="n">
        <f aca="false">Adoption!G37/1000000*Inputs!$B$25 + Adoption!H37/1000000*Inputs!$B$26</f>
        <v>2597.3376</v>
      </c>
      <c r="F37" s="15" t="n">
        <v>0</v>
      </c>
      <c r="G37" s="15" t="n">
        <f aca="false">INDEX(Inputs!$C$68:$E$68,Adoption!E37)</f>
        <v>12558.5</v>
      </c>
      <c r="H37" s="15" t="n">
        <v>0</v>
      </c>
      <c r="I37" s="15" t="n">
        <f aca="false">Adoption!J37*Inputs!$B$29</f>
        <v>24252</v>
      </c>
      <c r="J37" s="15" t="n">
        <f aca="false">INDEX(Inputs!$C$69:$E$69,Adoption!E37)</f>
        <v>36735.5</v>
      </c>
      <c r="K37" s="15" t="n">
        <v>0</v>
      </c>
      <c r="L37" s="15" t="n">
        <f aca="false">Adoption!J37*Inputs!$B$39</f>
        <v>8662.46222222222</v>
      </c>
      <c r="M37" s="15" t="n">
        <f aca="false">INDEX(Inputs!$C$70:$E$70,Adoption!E37)</f>
        <v>36012</v>
      </c>
    </row>
    <row r="38" customFormat="false" ht="15" hidden="false" customHeight="false" outlineLevel="0" collapsed="false">
      <c r="A38" s="21" t="n">
        <v>34</v>
      </c>
      <c r="B38" s="24" t="n">
        <f aca="false">Inputs!$B$19*Inputs!$B$5 + CEILING(Adoption!F38*Inputs!$B$20/Inputs!$B$21,1)*Inputs!$B$22</f>
        <v>15302</v>
      </c>
      <c r="C38" s="24" t="n">
        <v>0</v>
      </c>
      <c r="D38" s="24" t="n">
        <f aca="false">INDEX(Inputs!$C$67:$E$67,Adoption!E38)</f>
        <v>2733.3</v>
      </c>
      <c r="E38" s="24" t="n">
        <f aca="false">Adoption!G38/1000000*Inputs!$B$25 + Adoption!H38/1000000*Inputs!$B$26</f>
        <v>2647.6736</v>
      </c>
      <c r="F38" s="24" t="n">
        <v>0</v>
      </c>
      <c r="G38" s="24" t="n">
        <f aca="false">INDEX(Inputs!$C$68:$E$68,Adoption!E38)</f>
        <v>12558.5</v>
      </c>
      <c r="H38" s="24" t="n">
        <v>0</v>
      </c>
      <c r="I38" s="24" t="n">
        <f aca="false">Adoption!J38*Inputs!$B$29</f>
        <v>24252</v>
      </c>
      <c r="J38" s="24" t="n">
        <f aca="false">INDEX(Inputs!$C$69:$E$69,Adoption!E38)</f>
        <v>36735.5</v>
      </c>
      <c r="K38" s="24" t="n">
        <v>0</v>
      </c>
      <c r="L38" s="24" t="n">
        <f aca="false">Adoption!J38*Inputs!$B$39</f>
        <v>8662.46222222222</v>
      </c>
      <c r="M38" s="24" t="n">
        <f aca="false">INDEX(Inputs!$C$70:$E$70,Adoption!E38)</f>
        <v>36012</v>
      </c>
    </row>
    <row r="39" customFormat="false" ht="15" hidden="false" customHeight="false" outlineLevel="0" collapsed="false">
      <c r="A39" s="18" t="n">
        <v>35</v>
      </c>
      <c r="B39" s="15" t="n">
        <f aca="false">Inputs!$B$19*Inputs!$B$5 + CEILING(Adoption!F39*Inputs!$B$20/Inputs!$B$21,1)*Inputs!$B$22</f>
        <v>15302</v>
      </c>
      <c r="C39" s="15" t="n">
        <v>0</v>
      </c>
      <c r="D39" s="15" t="n">
        <f aca="false">INDEX(Inputs!$C$67:$E$67,Adoption!E39)</f>
        <v>2733.3</v>
      </c>
      <c r="E39" s="15" t="n">
        <f aca="false">Adoption!G39/1000000*Inputs!$B$25 + Adoption!H39/1000000*Inputs!$B$26</f>
        <v>2687.9424</v>
      </c>
      <c r="F39" s="15" t="n">
        <v>0</v>
      </c>
      <c r="G39" s="15" t="n">
        <f aca="false">INDEX(Inputs!$C$68:$E$68,Adoption!E39)</f>
        <v>12558.5</v>
      </c>
      <c r="H39" s="15" t="n">
        <v>0</v>
      </c>
      <c r="I39" s="15" t="n">
        <f aca="false">Adoption!J39*Inputs!$B$29</f>
        <v>24252</v>
      </c>
      <c r="J39" s="15" t="n">
        <f aca="false">INDEX(Inputs!$C$69:$E$69,Adoption!E39)</f>
        <v>36735.5</v>
      </c>
      <c r="K39" s="15" t="n">
        <v>0</v>
      </c>
      <c r="L39" s="15" t="n">
        <f aca="false">Adoption!J39*Inputs!$B$39</f>
        <v>8662.46222222222</v>
      </c>
      <c r="M39" s="15" t="n">
        <f aca="false">INDEX(Inputs!$C$70:$E$70,Adoption!E39)</f>
        <v>36012</v>
      </c>
    </row>
    <row r="40" customFormat="false" ht="15" hidden="false" customHeight="false" outlineLevel="0" collapsed="false">
      <c r="A40" s="21" t="n">
        <v>36</v>
      </c>
      <c r="B40" s="24" t="n">
        <f aca="false">Inputs!$B$19*Inputs!$B$5 + CEILING(Adoption!F40*Inputs!$B$20/Inputs!$B$21,1)*Inputs!$B$22</f>
        <v>15468</v>
      </c>
      <c r="C40" s="24" t="n">
        <v>0</v>
      </c>
      <c r="D40" s="24" t="n">
        <f aca="false">INDEX(Inputs!$C$67:$E$67,Adoption!E40)</f>
        <v>2733.3</v>
      </c>
      <c r="E40" s="24" t="n">
        <f aca="false">Adoption!G40/1000000*Inputs!$B$25 + Adoption!H40/1000000*Inputs!$B$26</f>
        <v>2728.2112</v>
      </c>
      <c r="F40" s="24" t="n">
        <v>0</v>
      </c>
      <c r="G40" s="24" t="n">
        <f aca="false">INDEX(Inputs!$C$68:$E$68,Adoption!E40)</f>
        <v>12558.5</v>
      </c>
      <c r="H40" s="24" t="n">
        <v>0</v>
      </c>
      <c r="I40" s="24" t="n">
        <f aca="false">Adoption!J40*Inputs!$B$29</f>
        <v>24252</v>
      </c>
      <c r="J40" s="24" t="n">
        <f aca="false">INDEX(Inputs!$C$69:$E$69,Adoption!E40)</f>
        <v>36735.5</v>
      </c>
      <c r="K40" s="24" t="n">
        <v>0</v>
      </c>
      <c r="L40" s="24" t="n">
        <f aca="false">Adoption!J40*Inputs!$B$39</f>
        <v>8662.46222222222</v>
      </c>
      <c r="M40" s="24" t="n">
        <f aca="false">INDEX(Inputs!$C$70:$E$70,Adoption!E40)</f>
        <v>36012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5"/>
    <col collapsed="false" customWidth="true" hidden="false" outlineLevel="0" max="7" min="7" style="0" width="54"/>
  </cols>
  <sheetData>
    <row r="1" customFormat="false" ht="16.15" hidden="false" customHeight="false" outlineLevel="0" collapsed="false">
      <c r="A1" s="1" t="s">
        <v>132</v>
      </c>
    </row>
    <row r="2" customFormat="false" ht="15" hidden="false" customHeight="false" outlineLevel="0" collapsed="false">
      <c r="A2" s="2" t="s">
        <v>133</v>
      </c>
    </row>
    <row r="4" customFormat="false" ht="23.85" hidden="false" customHeight="false" outlineLevel="0" collapsed="false">
      <c r="A4" s="17" t="s">
        <v>93</v>
      </c>
      <c r="B4" s="17" t="s">
        <v>129</v>
      </c>
      <c r="C4" s="17" t="s">
        <v>134</v>
      </c>
      <c r="D4" s="17" t="s">
        <v>135</v>
      </c>
      <c r="E4" s="17" t="s">
        <v>136</v>
      </c>
      <c r="F4" s="17" t="s">
        <v>137</v>
      </c>
      <c r="G4" s="17" t="s">
        <v>138</v>
      </c>
    </row>
    <row r="5" customFormat="false" ht="15" hidden="false" customHeight="false" outlineLevel="0" collapsed="false">
      <c r="A5" s="25" t="s">
        <v>101</v>
      </c>
      <c r="B5" s="26" t="n">
        <f aca="false">SUM('Monthly cost'!B5:B40)</f>
        <v>413922</v>
      </c>
      <c r="C5" s="26" t="n">
        <f aca="false">SUM('Monthly cost'!C5:C40)</f>
        <v>0</v>
      </c>
      <c r="D5" s="26" t="n">
        <f aca="false">SUM('Monthly cost'!D5:D40)</f>
        <v>98398.8</v>
      </c>
      <c r="E5" s="26" t="n">
        <f aca="false">Inputs!$F$67</f>
        <v>9111</v>
      </c>
      <c r="F5" s="27" t="n">
        <f aca="false">SUM(B5:E5)</f>
        <v>521431.8</v>
      </c>
      <c r="G5" s="6" t="s">
        <v>139</v>
      </c>
    </row>
    <row r="6" customFormat="false" ht="15" hidden="false" customHeight="false" outlineLevel="0" collapsed="false">
      <c r="A6" s="25" t="s">
        <v>103</v>
      </c>
      <c r="B6" s="26" t="n">
        <f aca="false">SUM('Monthly cost'!E5:E40)</f>
        <v>48503.7696</v>
      </c>
      <c r="C6" s="26" t="n">
        <f aca="false">SUM('Monthly cost'!F5:F40)</f>
        <v>0</v>
      </c>
      <c r="D6" s="26" t="n">
        <f aca="false">SUM('Monthly cost'!G5:G40)</f>
        <v>367531.6</v>
      </c>
      <c r="E6" s="26" t="n">
        <f aca="false">Inputs!$F$68</f>
        <v>37535</v>
      </c>
      <c r="F6" s="27" t="n">
        <f aca="false">SUM(B6:E6)</f>
        <v>453570.3696</v>
      </c>
      <c r="G6" s="6" t="s">
        <v>140</v>
      </c>
    </row>
    <row r="7" customFormat="false" ht="15" hidden="false" customHeight="false" outlineLevel="0" collapsed="false">
      <c r="A7" s="25" t="s">
        <v>105</v>
      </c>
      <c r="B7" s="26" t="n">
        <f aca="false">SUM('Monthly cost'!H5:H40)</f>
        <v>0</v>
      </c>
      <c r="C7" s="26" t="n">
        <f aca="false">SUM('Monthly cost'!I5:I40)</f>
        <v>582048</v>
      </c>
      <c r="D7" s="26" t="n">
        <f aca="false">SUM('Monthly cost'!J5:J40)</f>
        <v>936284.9</v>
      </c>
      <c r="E7" s="26" t="n">
        <f aca="false">Inputs!$F$69</f>
        <v>73470</v>
      </c>
      <c r="F7" s="27" t="n">
        <f aca="false">SUM(B7:E7)</f>
        <v>1591802.9</v>
      </c>
      <c r="G7" s="6" t="s">
        <v>141</v>
      </c>
    </row>
    <row r="8" customFormat="false" ht="15" hidden="false" customHeight="false" outlineLevel="0" collapsed="false">
      <c r="A8" s="25" t="s">
        <v>107</v>
      </c>
      <c r="B8" s="26" t="n">
        <f aca="false">SUM('Monthly cost'!K5:K40)</f>
        <v>0</v>
      </c>
      <c r="C8" s="26" t="n">
        <f aca="false">SUM('Monthly cost'!L5:L40)</f>
        <v>207899.093333333</v>
      </c>
      <c r="D8" s="26" t="n">
        <f aca="false">SUM('Monthly cost'!M5:M40)</f>
        <v>901666.4</v>
      </c>
      <c r="E8" s="26" t="n">
        <f aca="false">Inputs!$F$70</f>
        <v>59605</v>
      </c>
      <c r="F8" s="27" t="n">
        <f aca="false">SUM(B8:E8)</f>
        <v>1169170.49333333</v>
      </c>
      <c r="G8" s="6" t="s">
        <v>142</v>
      </c>
    </row>
    <row r="9" customFormat="false" ht="15" hidden="false" customHeight="false" outlineLevel="0" collapsed="false">
      <c r="A9" s="14" t="s">
        <v>143</v>
      </c>
      <c r="B9" s="28" t="n">
        <f aca="false">(D5+E5)/F5</f>
        <v>0.206181901449049</v>
      </c>
      <c r="C9" s="28" t="n">
        <f aca="false">(D6+E6)/F6</f>
        <v>0.893062305540869</v>
      </c>
      <c r="D9" s="28" t="n">
        <f aca="false">(D7+E7)/F7</f>
        <v>0.634346689530469</v>
      </c>
      <c r="E9" s="28" t="n">
        <f aca="false">(D8+E8)/F8</f>
        <v>0.822182398102942</v>
      </c>
    </row>
    <row r="10" customFormat="false" ht="15" hidden="false" customHeight="false" outlineLevel="0" collapsed="false">
      <c r="B10" s="29" t="s">
        <v>101</v>
      </c>
      <c r="C10" s="29" t="s">
        <v>103</v>
      </c>
      <c r="D10" s="29" t="s">
        <v>105</v>
      </c>
      <c r="E10" s="29" t="s">
        <v>107</v>
      </c>
    </row>
    <row r="13" customFormat="false" ht="15" hidden="false" customHeight="false" outlineLevel="0" collapsed="false">
      <c r="A13" s="14" t="s">
        <v>144</v>
      </c>
    </row>
    <row r="15" customFormat="false" ht="30" hidden="false" customHeight="true" outlineLevel="0" collapsed="false">
      <c r="A15" s="30" t="s">
        <v>145</v>
      </c>
      <c r="B15" s="30"/>
      <c r="C15" s="30"/>
      <c r="D15" s="30"/>
      <c r="E15" s="30"/>
      <c r="F15" s="30"/>
      <c r="G15" s="30"/>
    </row>
    <row r="16" customFormat="false" ht="30" hidden="false" customHeight="true" outlineLevel="0" collapsed="false">
      <c r="A16" s="30" t="s">
        <v>146</v>
      </c>
      <c r="B16" s="30"/>
      <c r="C16" s="30"/>
      <c r="D16" s="30"/>
      <c r="E16" s="30"/>
      <c r="F16" s="30"/>
      <c r="G16" s="30"/>
    </row>
    <row r="17" customFormat="false" ht="30" hidden="false" customHeight="true" outlineLevel="0" collapsed="false">
      <c r="A17" s="30" t="s">
        <v>147</v>
      </c>
      <c r="B17" s="30"/>
      <c r="C17" s="30"/>
      <c r="D17" s="30"/>
      <c r="E17" s="30"/>
      <c r="F17" s="30"/>
      <c r="G17" s="30"/>
    </row>
    <row r="18" customFormat="false" ht="30" hidden="false" customHeight="true" outlineLevel="0" collapsed="false">
      <c r="A18" s="30" t="s">
        <v>148</v>
      </c>
      <c r="B18" s="30"/>
      <c r="C18" s="30"/>
      <c r="D18" s="30"/>
      <c r="E18" s="30"/>
      <c r="F18" s="30"/>
      <c r="G18" s="30"/>
    </row>
    <row r="19" customFormat="false" ht="30" hidden="false" customHeight="true" outlineLevel="0" collapsed="false">
      <c r="A19" s="30" t="s">
        <v>149</v>
      </c>
      <c r="B19" s="30"/>
      <c r="C19" s="30"/>
      <c r="D19" s="30"/>
      <c r="E19" s="30"/>
      <c r="F19" s="30"/>
      <c r="G19" s="30"/>
    </row>
    <row r="20" customFormat="false" ht="30" hidden="false" customHeight="true" outlineLevel="0" collapsed="false">
      <c r="A20" s="30" t="s">
        <v>150</v>
      </c>
      <c r="B20" s="30"/>
      <c r="C20" s="30"/>
      <c r="D20" s="30"/>
      <c r="E20" s="30"/>
      <c r="F20" s="30"/>
      <c r="G20" s="30"/>
    </row>
    <row r="21" customFormat="false" ht="30" hidden="false" customHeight="true" outlineLevel="0" collapsed="false">
      <c r="A21" s="30" t="s">
        <v>151</v>
      </c>
      <c r="B21" s="30"/>
      <c r="C21" s="30"/>
      <c r="D21" s="30"/>
      <c r="E21" s="30"/>
      <c r="F21" s="30"/>
      <c r="G21" s="30"/>
    </row>
  </sheetData>
  <mergeCells count="7">
    <mergeCell ref="A15:G15"/>
    <mergeCell ref="A16:G16"/>
    <mergeCell ref="A17:G17"/>
    <mergeCell ref="A18:G18"/>
    <mergeCell ref="A19:G19"/>
    <mergeCell ref="A20:G20"/>
    <mergeCell ref="A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2026-10-14T14:14:05Z</dcterms:created>
  <dc:creator>openpyxl</dc:creator>
  <dc:description/>
  <dc:language>en-US</dc:language>
  <cp:lastModifiedBy/>
  <dcterms:modified xsi:type="dcterms:W3CDTF">2026-10-14T14:14:05Z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